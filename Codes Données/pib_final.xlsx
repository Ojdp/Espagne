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53003\Documents\GitHub\Espagne\"/>
    </mc:Choice>
  </mc:AlternateContent>
  <xr:revisionPtr revIDLastSave="0" documentId="13_ncr:1_{4133E383-F5A5-4FC7-8BB6-D037C385AFDB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 1" sheetId="1" r:id="rId1"/>
    <sheet name="Feuil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3" i="1" l="1"/>
  <c r="AV125" i="1"/>
  <c r="AV124" i="1"/>
  <c r="AV7" i="1"/>
  <c r="AW7" i="1"/>
  <c r="AX7" i="1"/>
  <c r="AY7" i="1"/>
  <c r="AZ7" i="1"/>
  <c r="BA7" i="1"/>
  <c r="BB7" i="1"/>
  <c r="AV8" i="1"/>
  <c r="AW8" i="1"/>
  <c r="AX8" i="1"/>
  <c r="AY8" i="1"/>
  <c r="AZ8" i="1"/>
  <c r="BA8" i="1"/>
  <c r="BB8" i="1"/>
  <c r="AV9" i="1"/>
  <c r="AW9" i="1"/>
  <c r="AX9" i="1"/>
  <c r="AY9" i="1"/>
  <c r="AZ9" i="1"/>
  <c r="BA9" i="1"/>
  <c r="BB9" i="1"/>
  <c r="AV10" i="1"/>
  <c r="AW10" i="1"/>
  <c r="AX10" i="1"/>
  <c r="AY10" i="1"/>
  <c r="AZ10" i="1"/>
  <c r="BA10" i="1"/>
  <c r="BB10" i="1"/>
  <c r="AV11" i="1"/>
  <c r="AW11" i="1"/>
  <c r="AX11" i="1"/>
  <c r="AY11" i="1"/>
  <c r="AZ11" i="1"/>
  <c r="BA11" i="1"/>
  <c r="BB11" i="1"/>
  <c r="AV12" i="1"/>
  <c r="AW12" i="1"/>
  <c r="AX12" i="1"/>
  <c r="AY12" i="1"/>
  <c r="AZ12" i="1"/>
  <c r="BA12" i="1"/>
  <c r="BB12" i="1"/>
  <c r="AV13" i="1"/>
  <c r="AW13" i="1"/>
  <c r="AX13" i="1"/>
  <c r="AY13" i="1"/>
  <c r="AZ13" i="1"/>
  <c r="BA13" i="1"/>
  <c r="BB13" i="1"/>
  <c r="AV14" i="1"/>
  <c r="AW14" i="1"/>
  <c r="AX14" i="1"/>
  <c r="AY14" i="1"/>
  <c r="AZ14" i="1"/>
  <c r="BA14" i="1"/>
  <c r="BB14" i="1"/>
  <c r="AV15" i="1"/>
  <c r="AW15" i="1"/>
  <c r="AX15" i="1"/>
  <c r="AY15" i="1"/>
  <c r="AZ15" i="1"/>
  <c r="BA15" i="1"/>
  <c r="BB15" i="1"/>
  <c r="AV16" i="1"/>
  <c r="AW16" i="1"/>
  <c r="AX16" i="1"/>
  <c r="AY16" i="1"/>
  <c r="AZ16" i="1"/>
  <c r="BA16" i="1"/>
  <c r="BB16" i="1"/>
  <c r="AV17" i="1"/>
  <c r="AW17" i="1"/>
  <c r="AX17" i="1"/>
  <c r="AY17" i="1"/>
  <c r="AZ17" i="1"/>
  <c r="BA17" i="1"/>
  <c r="BB17" i="1"/>
  <c r="AV18" i="1"/>
  <c r="AW18" i="1"/>
  <c r="AX18" i="1"/>
  <c r="AY18" i="1"/>
  <c r="AZ18" i="1"/>
  <c r="BA18" i="1"/>
  <c r="BB18" i="1"/>
  <c r="AV19" i="1"/>
  <c r="AW19" i="1"/>
  <c r="AX19" i="1"/>
  <c r="AY19" i="1"/>
  <c r="AZ19" i="1"/>
  <c r="BA19" i="1"/>
  <c r="BB19" i="1"/>
  <c r="AV20" i="1"/>
  <c r="AW20" i="1"/>
  <c r="AX20" i="1"/>
  <c r="AY20" i="1"/>
  <c r="AZ20" i="1"/>
  <c r="BA20" i="1"/>
  <c r="BB20" i="1"/>
  <c r="AV21" i="1"/>
  <c r="AW21" i="1"/>
  <c r="AX21" i="1"/>
  <c r="AY21" i="1"/>
  <c r="AZ21" i="1"/>
  <c r="BA21" i="1"/>
  <c r="BB21" i="1"/>
  <c r="AV22" i="1"/>
  <c r="AW22" i="1"/>
  <c r="AX22" i="1"/>
  <c r="AY22" i="1"/>
  <c r="AZ22" i="1"/>
  <c r="BA22" i="1"/>
  <c r="BB22" i="1"/>
  <c r="AV23" i="1"/>
  <c r="AW23" i="1"/>
  <c r="AX23" i="1"/>
  <c r="AY23" i="1"/>
  <c r="AZ23" i="1"/>
  <c r="BA23" i="1"/>
  <c r="BB23" i="1"/>
  <c r="AV24" i="1"/>
  <c r="AW24" i="1"/>
  <c r="AX24" i="1"/>
  <c r="AY24" i="1"/>
  <c r="AZ24" i="1"/>
  <c r="BA24" i="1"/>
  <c r="BB24" i="1"/>
  <c r="AV25" i="1"/>
  <c r="AW25" i="1"/>
  <c r="AX25" i="1"/>
  <c r="AY25" i="1"/>
  <c r="AZ25" i="1"/>
  <c r="BA25" i="1"/>
  <c r="BB25" i="1"/>
  <c r="AV26" i="1"/>
  <c r="AW26" i="1"/>
  <c r="AX26" i="1"/>
  <c r="AY26" i="1"/>
  <c r="AZ26" i="1"/>
  <c r="BA26" i="1"/>
  <c r="BB26" i="1"/>
  <c r="AV27" i="1"/>
  <c r="AW27" i="1"/>
  <c r="AX27" i="1"/>
  <c r="AY27" i="1"/>
  <c r="AZ27" i="1"/>
  <c r="BA27" i="1"/>
  <c r="BB27" i="1"/>
  <c r="AV28" i="1"/>
  <c r="AW28" i="1"/>
  <c r="AX28" i="1"/>
  <c r="AY28" i="1"/>
  <c r="AZ28" i="1"/>
  <c r="BA28" i="1"/>
  <c r="BB28" i="1"/>
  <c r="AV29" i="1"/>
  <c r="AW29" i="1"/>
  <c r="AX29" i="1"/>
  <c r="AY29" i="1"/>
  <c r="AZ29" i="1"/>
  <c r="BA29" i="1"/>
  <c r="BB29" i="1"/>
  <c r="AV30" i="1"/>
  <c r="AW30" i="1"/>
  <c r="AX30" i="1"/>
  <c r="AY30" i="1"/>
  <c r="AZ30" i="1"/>
  <c r="BA30" i="1"/>
  <c r="BB30" i="1"/>
  <c r="AV31" i="1"/>
  <c r="AW31" i="1"/>
  <c r="AX31" i="1"/>
  <c r="AY31" i="1"/>
  <c r="AZ31" i="1"/>
  <c r="BA31" i="1"/>
  <c r="BB31" i="1"/>
  <c r="AV32" i="1"/>
  <c r="AW32" i="1"/>
  <c r="AX32" i="1"/>
  <c r="AY32" i="1"/>
  <c r="AZ32" i="1"/>
  <c r="BA32" i="1"/>
  <c r="BB32" i="1"/>
  <c r="AV33" i="1"/>
  <c r="AW33" i="1"/>
  <c r="AX33" i="1"/>
  <c r="AY33" i="1"/>
  <c r="AZ33" i="1"/>
  <c r="BA33" i="1"/>
  <c r="BB33" i="1"/>
  <c r="AV34" i="1"/>
  <c r="AW34" i="1"/>
  <c r="AX34" i="1"/>
  <c r="AY34" i="1"/>
  <c r="AZ34" i="1"/>
  <c r="BA34" i="1"/>
  <c r="BB34" i="1"/>
  <c r="AV35" i="1"/>
  <c r="AW35" i="1"/>
  <c r="AX35" i="1"/>
  <c r="AY35" i="1"/>
  <c r="AZ35" i="1"/>
  <c r="BA35" i="1"/>
  <c r="BB35" i="1"/>
  <c r="AV36" i="1"/>
  <c r="AW36" i="1"/>
  <c r="AX36" i="1"/>
  <c r="AY36" i="1"/>
  <c r="AZ36" i="1"/>
  <c r="BA36" i="1"/>
  <c r="BB36" i="1"/>
  <c r="AV37" i="1"/>
  <c r="AW37" i="1"/>
  <c r="AX37" i="1"/>
  <c r="AY37" i="1"/>
  <c r="AZ37" i="1"/>
  <c r="BA37" i="1"/>
  <c r="BB37" i="1"/>
  <c r="AV38" i="1"/>
  <c r="AW38" i="1"/>
  <c r="AX38" i="1"/>
  <c r="AY38" i="1"/>
  <c r="AZ38" i="1"/>
  <c r="BA38" i="1"/>
  <c r="BB38" i="1"/>
  <c r="AV39" i="1"/>
  <c r="AW39" i="1"/>
  <c r="AX39" i="1"/>
  <c r="AY39" i="1"/>
  <c r="AZ39" i="1"/>
  <c r="BA39" i="1"/>
  <c r="BB39" i="1"/>
  <c r="AV40" i="1"/>
  <c r="AW40" i="1"/>
  <c r="AX40" i="1"/>
  <c r="AY40" i="1"/>
  <c r="AZ40" i="1"/>
  <c r="BA40" i="1"/>
  <c r="BB40" i="1"/>
  <c r="AV41" i="1"/>
  <c r="AW41" i="1"/>
  <c r="AX41" i="1"/>
  <c r="AY41" i="1"/>
  <c r="AZ41" i="1"/>
  <c r="BA41" i="1"/>
  <c r="BB41" i="1"/>
  <c r="AV42" i="1"/>
  <c r="AW42" i="1"/>
  <c r="AX42" i="1"/>
  <c r="AY42" i="1"/>
  <c r="AZ42" i="1"/>
  <c r="BA42" i="1"/>
  <c r="BB42" i="1"/>
  <c r="AV43" i="1"/>
  <c r="AW43" i="1"/>
  <c r="AX43" i="1"/>
  <c r="AY43" i="1"/>
  <c r="AZ43" i="1"/>
  <c r="BA43" i="1"/>
  <c r="BB43" i="1"/>
  <c r="AV44" i="1"/>
  <c r="AW44" i="1"/>
  <c r="AX44" i="1"/>
  <c r="AY44" i="1"/>
  <c r="AZ44" i="1"/>
  <c r="BA44" i="1"/>
  <c r="BB44" i="1"/>
  <c r="AV45" i="1"/>
  <c r="AW45" i="1"/>
  <c r="AX45" i="1"/>
  <c r="AY45" i="1"/>
  <c r="AZ45" i="1"/>
  <c r="BA45" i="1"/>
  <c r="BB45" i="1"/>
  <c r="AV46" i="1"/>
  <c r="AW46" i="1"/>
  <c r="AX46" i="1"/>
  <c r="AY46" i="1"/>
  <c r="AZ46" i="1"/>
  <c r="BA46" i="1"/>
  <c r="BB46" i="1"/>
  <c r="AV47" i="1"/>
  <c r="AW47" i="1"/>
  <c r="AX47" i="1"/>
  <c r="AY47" i="1"/>
  <c r="AZ47" i="1"/>
  <c r="BA47" i="1"/>
  <c r="BB47" i="1"/>
  <c r="AV48" i="1"/>
  <c r="AW48" i="1"/>
  <c r="AX48" i="1"/>
  <c r="AY48" i="1"/>
  <c r="AZ48" i="1"/>
  <c r="BA48" i="1"/>
  <c r="BB48" i="1"/>
  <c r="AV49" i="1"/>
  <c r="AW49" i="1"/>
  <c r="AX49" i="1"/>
  <c r="AY49" i="1"/>
  <c r="AZ49" i="1"/>
  <c r="BA49" i="1"/>
  <c r="BB49" i="1"/>
  <c r="AV50" i="1"/>
  <c r="AW50" i="1"/>
  <c r="AX50" i="1"/>
  <c r="AY50" i="1"/>
  <c r="AZ50" i="1"/>
  <c r="BA50" i="1"/>
  <c r="BB50" i="1"/>
  <c r="AV51" i="1"/>
  <c r="AW51" i="1"/>
  <c r="AX51" i="1"/>
  <c r="AY51" i="1"/>
  <c r="AZ51" i="1"/>
  <c r="BA51" i="1"/>
  <c r="BB51" i="1"/>
  <c r="AV52" i="1"/>
  <c r="AW52" i="1"/>
  <c r="AX52" i="1"/>
  <c r="AY52" i="1"/>
  <c r="AZ52" i="1"/>
  <c r="BA52" i="1"/>
  <c r="BB52" i="1"/>
  <c r="AV53" i="1"/>
  <c r="AW53" i="1"/>
  <c r="AX53" i="1"/>
  <c r="AY53" i="1"/>
  <c r="AZ53" i="1"/>
  <c r="BA53" i="1"/>
  <c r="BB53" i="1"/>
  <c r="AV54" i="1"/>
  <c r="AW54" i="1"/>
  <c r="AX54" i="1"/>
  <c r="AY54" i="1"/>
  <c r="AZ54" i="1"/>
  <c r="BA54" i="1"/>
  <c r="BB54" i="1"/>
  <c r="AV55" i="1"/>
  <c r="AW55" i="1"/>
  <c r="AX55" i="1"/>
  <c r="AY55" i="1"/>
  <c r="AZ55" i="1"/>
  <c r="BA55" i="1"/>
  <c r="BB55" i="1"/>
  <c r="AV56" i="1"/>
  <c r="AW56" i="1"/>
  <c r="AX56" i="1"/>
  <c r="AY56" i="1"/>
  <c r="AZ56" i="1"/>
  <c r="BA56" i="1"/>
  <c r="BB56" i="1"/>
  <c r="AV57" i="1"/>
  <c r="AW57" i="1"/>
  <c r="AX57" i="1"/>
  <c r="AY57" i="1"/>
  <c r="AZ57" i="1"/>
  <c r="BA57" i="1"/>
  <c r="BB57" i="1"/>
  <c r="AV58" i="1"/>
  <c r="AW58" i="1"/>
  <c r="AX58" i="1"/>
  <c r="AY58" i="1"/>
  <c r="AZ58" i="1"/>
  <c r="BA58" i="1"/>
  <c r="BB58" i="1"/>
  <c r="AV59" i="1"/>
  <c r="AW59" i="1"/>
  <c r="AX59" i="1"/>
  <c r="AY59" i="1"/>
  <c r="AZ59" i="1"/>
  <c r="BA59" i="1"/>
  <c r="BB59" i="1"/>
  <c r="AV60" i="1"/>
  <c r="AW60" i="1"/>
  <c r="AX60" i="1"/>
  <c r="AY60" i="1"/>
  <c r="AZ60" i="1"/>
  <c r="BA60" i="1"/>
  <c r="BB60" i="1"/>
  <c r="AV61" i="1"/>
  <c r="AW61" i="1"/>
  <c r="AX61" i="1"/>
  <c r="AY61" i="1"/>
  <c r="AZ61" i="1"/>
  <c r="BA61" i="1"/>
  <c r="BB61" i="1"/>
  <c r="AV62" i="1"/>
  <c r="AW62" i="1"/>
  <c r="AX62" i="1"/>
  <c r="AY62" i="1"/>
  <c r="AZ62" i="1"/>
  <c r="BA62" i="1"/>
  <c r="BB62" i="1"/>
  <c r="AV63" i="1"/>
  <c r="AW63" i="1"/>
  <c r="AX63" i="1"/>
  <c r="AY63" i="1"/>
  <c r="AZ63" i="1"/>
  <c r="BA63" i="1"/>
  <c r="BB63" i="1"/>
  <c r="AV64" i="1"/>
  <c r="AW64" i="1"/>
  <c r="AX64" i="1"/>
  <c r="AY64" i="1"/>
  <c r="AZ64" i="1"/>
  <c r="BA64" i="1"/>
  <c r="BB64" i="1"/>
  <c r="AV65" i="1"/>
  <c r="AW65" i="1"/>
  <c r="AX65" i="1"/>
  <c r="AY65" i="1"/>
  <c r="AZ65" i="1"/>
  <c r="BA65" i="1"/>
  <c r="BB65" i="1"/>
  <c r="AV66" i="1"/>
  <c r="AW66" i="1"/>
  <c r="AX66" i="1"/>
  <c r="AY66" i="1"/>
  <c r="AZ66" i="1"/>
  <c r="BA66" i="1"/>
  <c r="BB66" i="1"/>
  <c r="AV67" i="1"/>
  <c r="AW67" i="1"/>
  <c r="AX67" i="1"/>
  <c r="AY67" i="1"/>
  <c r="AZ67" i="1"/>
  <c r="BA67" i="1"/>
  <c r="BB67" i="1"/>
  <c r="AV68" i="1"/>
  <c r="AW68" i="1"/>
  <c r="AX68" i="1"/>
  <c r="AY68" i="1"/>
  <c r="AZ68" i="1"/>
  <c r="BA68" i="1"/>
  <c r="BB68" i="1"/>
  <c r="AV69" i="1"/>
  <c r="AW69" i="1"/>
  <c r="AX69" i="1"/>
  <c r="AY69" i="1"/>
  <c r="AZ69" i="1"/>
  <c r="BA69" i="1"/>
  <c r="BB69" i="1"/>
  <c r="AV70" i="1"/>
  <c r="AW70" i="1"/>
  <c r="AX70" i="1"/>
  <c r="AY70" i="1"/>
  <c r="AZ70" i="1"/>
  <c r="BA70" i="1"/>
  <c r="BB70" i="1"/>
  <c r="AV71" i="1"/>
  <c r="AW71" i="1"/>
  <c r="AX71" i="1"/>
  <c r="AY71" i="1"/>
  <c r="AZ71" i="1"/>
  <c r="BA71" i="1"/>
  <c r="BB71" i="1"/>
  <c r="AV72" i="1"/>
  <c r="AW72" i="1"/>
  <c r="AX72" i="1"/>
  <c r="AY72" i="1"/>
  <c r="AZ72" i="1"/>
  <c r="BA72" i="1"/>
  <c r="BB72" i="1"/>
  <c r="AV73" i="1"/>
  <c r="AW73" i="1"/>
  <c r="AX73" i="1"/>
  <c r="AY73" i="1"/>
  <c r="AZ73" i="1"/>
  <c r="BA73" i="1"/>
  <c r="BB73" i="1"/>
  <c r="AV74" i="1"/>
  <c r="AW74" i="1"/>
  <c r="AX74" i="1"/>
  <c r="AY74" i="1"/>
  <c r="AZ74" i="1"/>
  <c r="BA74" i="1"/>
  <c r="BB74" i="1"/>
  <c r="AV75" i="1"/>
  <c r="AW75" i="1"/>
  <c r="AX75" i="1"/>
  <c r="AY75" i="1"/>
  <c r="AZ75" i="1"/>
  <c r="BA75" i="1"/>
  <c r="BB75" i="1"/>
  <c r="AV76" i="1"/>
  <c r="AW76" i="1"/>
  <c r="AX76" i="1"/>
  <c r="AY76" i="1"/>
  <c r="AZ76" i="1"/>
  <c r="BA76" i="1"/>
  <c r="BB76" i="1"/>
  <c r="AV77" i="1"/>
  <c r="AW77" i="1"/>
  <c r="AX77" i="1"/>
  <c r="AY77" i="1"/>
  <c r="AZ77" i="1"/>
  <c r="BA77" i="1"/>
  <c r="BB77" i="1"/>
  <c r="AV78" i="1"/>
  <c r="AW78" i="1"/>
  <c r="AX78" i="1"/>
  <c r="AY78" i="1"/>
  <c r="AZ78" i="1"/>
  <c r="BA78" i="1"/>
  <c r="BB78" i="1"/>
  <c r="AV79" i="1"/>
  <c r="AW79" i="1"/>
  <c r="AX79" i="1"/>
  <c r="AY79" i="1"/>
  <c r="AZ79" i="1"/>
  <c r="BA79" i="1"/>
  <c r="BB79" i="1"/>
  <c r="AV80" i="1"/>
  <c r="AW80" i="1"/>
  <c r="AX80" i="1"/>
  <c r="AY80" i="1"/>
  <c r="AZ80" i="1"/>
  <c r="BA80" i="1"/>
  <c r="BB80" i="1"/>
  <c r="AV81" i="1"/>
  <c r="AW81" i="1"/>
  <c r="AX81" i="1"/>
  <c r="AY81" i="1"/>
  <c r="AZ81" i="1"/>
  <c r="BA81" i="1"/>
  <c r="BB81" i="1"/>
  <c r="AV82" i="1"/>
  <c r="AW82" i="1"/>
  <c r="AX82" i="1"/>
  <c r="AY82" i="1"/>
  <c r="AZ82" i="1"/>
  <c r="BA82" i="1"/>
  <c r="BB82" i="1"/>
  <c r="AV83" i="1"/>
  <c r="AW83" i="1"/>
  <c r="AX83" i="1"/>
  <c r="AY83" i="1"/>
  <c r="AZ83" i="1"/>
  <c r="BA83" i="1"/>
  <c r="BB83" i="1"/>
  <c r="AV84" i="1"/>
  <c r="AW84" i="1"/>
  <c r="AX84" i="1"/>
  <c r="AY84" i="1"/>
  <c r="AZ84" i="1"/>
  <c r="BA84" i="1"/>
  <c r="BB84" i="1"/>
  <c r="AV85" i="1"/>
  <c r="AW85" i="1"/>
  <c r="AX85" i="1"/>
  <c r="AY85" i="1"/>
  <c r="AZ85" i="1"/>
  <c r="BA85" i="1"/>
  <c r="BB85" i="1"/>
  <c r="AV86" i="1"/>
  <c r="AW86" i="1"/>
  <c r="AX86" i="1"/>
  <c r="AY86" i="1"/>
  <c r="AZ86" i="1"/>
  <c r="BA86" i="1"/>
  <c r="BB86" i="1"/>
  <c r="AV87" i="1"/>
  <c r="AW87" i="1"/>
  <c r="AX87" i="1"/>
  <c r="AY87" i="1"/>
  <c r="AZ87" i="1"/>
  <c r="BA87" i="1"/>
  <c r="BB87" i="1"/>
  <c r="AV88" i="1"/>
  <c r="AW88" i="1"/>
  <c r="AX88" i="1"/>
  <c r="AY88" i="1"/>
  <c r="AZ88" i="1"/>
  <c r="BA88" i="1"/>
  <c r="BB88" i="1"/>
  <c r="AV89" i="1"/>
  <c r="AW89" i="1"/>
  <c r="AX89" i="1"/>
  <c r="AY89" i="1"/>
  <c r="AZ89" i="1"/>
  <c r="BA89" i="1"/>
  <c r="BB89" i="1"/>
  <c r="AV90" i="1"/>
  <c r="AW90" i="1"/>
  <c r="AX90" i="1"/>
  <c r="AY90" i="1"/>
  <c r="AZ90" i="1"/>
  <c r="BA90" i="1"/>
  <c r="BB90" i="1"/>
  <c r="AV91" i="1"/>
  <c r="AW91" i="1"/>
  <c r="AX91" i="1"/>
  <c r="AY91" i="1"/>
  <c r="AZ91" i="1"/>
  <c r="BA91" i="1"/>
  <c r="BB91" i="1"/>
  <c r="AV92" i="1"/>
  <c r="AW92" i="1"/>
  <c r="AX92" i="1"/>
  <c r="AY92" i="1"/>
  <c r="AZ92" i="1"/>
  <c r="BA92" i="1"/>
  <c r="BB92" i="1"/>
  <c r="AV93" i="1"/>
  <c r="AW93" i="1"/>
  <c r="AX93" i="1"/>
  <c r="AY93" i="1"/>
  <c r="AZ93" i="1"/>
  <c r="BA93" i="1"/>
  <c r="BB93" i="1"/>
  <c r="AV94" i="1"/>
  <c r="AW94" i="1"/>
  <c r="AX94" i="1"/>
  <c r="AY94" i="1"/>
  <c r="AZ94" i="1"/>
  <c r="BA94" i="1"/>
  <c r="BB94" i="1"/>
  <c r="AV95" i="1"/>
  <c r="AW95" i="1"/>
  <c r="AX95" i="1"/>
  <c r="AY95" i="1"/>
  <c r="AZ95" i="1"/>
  <c r="BA95" i="1"/>
  <c r="BB95" i="1"/>
  <c r="AV96" i="1"/>
  <c r="AW96" i="1"/>
  <c r="AX96" i="1"/>
  <c r="AY96" i="1"/>
  <c r="AZ96" i="1"/>
  <c r="BA96" i="1"/>
  <c r="BB96" i="1"/>
  <c r="AV97" i="1"/>
  <c r="AW97" i="1"/>
  <c r="AX97" i="1"/>
  <c r="AY97" i="1"/>
  <c r="AZ97" i="1"/>
  <c r="BA97" i="1"/>
  <c r="BB97" i="1"/>
  <c r="AV98" i="1"/>
  <c r="AW98" i="1"/>
  <c r="AX98" i="1"/>
  <c r="AY98" i="1"/>
  <c r="AZ98" i="1"/>
  <c r="BA98" i="1"/>
  <c r="BB98" i="1"/>
  <c r="AV99" i="1"/>
  <c r="AW99" i="1"/>
  <c r="AX99" i="1"/>
  <c r="AY99" i="1"/>
  <c r="AZ99" i="1"/>
  <c r="BA99" i="1"/>
  <c r="BB99" i="1"/>
  <c r="AV100" i="1"/>
  <c r="AW100" i="1"/>
  <c r="AX100" i="1"/>
  <c r="AY100" i="1"/>
  <c r="AZ100" i="1"/>
  <c r="BA100" i="1"/>
  <c r="BB100" i="1"/>
  <c r="AV101" i="1"/>
  <c r="AW101" i="1"/>
  <c r="AX101" i="1"/>
  <c r="AY101" i="1"/>
  <c r="AZ101" i="1"/>
  <c r="BA101" i="1"/>
  <c r="BB101" i="1"/>
  <c r="AV102" i="1"/>
  <c r="AW102" i="1"/>
  <c r="AX102" i="1"/>
  <c r="AY102" i="1"/>
  <c r="AZ102" i="1"/>
  <c r="BA102" i="1"/>
  <c r="BB102" i="1"/>
  <c r="AV103" i="1"/>
  <c r="AW103" i="1"/>
  <c r="AX103" i="1"/>
  <c r="AY103" i="1"/>
  <c r="AZ103" i="1"/>
  <c r="BA103" i="1"/>
  <c r="BB103" i="1"/>
  <c r="AV104" i="1"/>
  <c r="AW104" i="1"/>
  <c r="AX104" i="1"/>
  <c r="AY104" i="1"/>
  <c r="AZ104" i="1"/>
  <c r="BA104" i="1"/>
  <c r="BB104" i="1"/>
  <c r="AV105" i="1"/>
  <c r="AW105" i="1"/>
  <c r="AX105" i="1"/>
  <c r="AY105" i="1"/>
  <c r="AZ105" i="1"/>
  <c r="BA105" i="1"/>
  <c r="BB105" i="1"/>
  <c r="AV106" i="1"/>
  <c r="AW106" i="1"/>
  <c r="AX106" i="1"/>
  <c r="AY106" i="1"/>
  <c r="AZ106" i="1"/>
  <c r="BA106" i="1"/>
  <c r="BB106" i="1"/>
  <c r="AV107" i="1"/>
  <c r="AW107" i="1"/>
  <c r="AX107" i="1"/>
  <c r="AY107" i="1"/>
  <c r="AZ107" i="1"/>
  <c r="BA107" i="1"/>
  <c r="BB107" i="1"/>
  <c r="AV108" i="1"/>
  <c r="AW108" i="1"/>
  <c r="AX108" i="1"/>
  <c r="AY108" i="1"/>
  <c r="AZ108" i="1"/>
  <c r="BA108" i="1"/>
  <c r="BB108" i="1"/>
  <c r="AV109" i="1"/>
  <c r="AW109" i="1"/>
  <c r="AX109" i="1"/>
  <c r="AY109" i="1"/>
  <c r="AZ109" i="1"/>
  <c r="BA109" i="1"/>
  <c r="BB109" i="1"/>
  <c r="AV110" i="1"/>
  <c r="AW110" i="1"/>
  <c r="AX110" i="1"/>
  <c r="AY110" i="1"/>
  <c r="AZ110" i="1"/>
  <c r="BA110" i="1"/>
  <c r="BB110" i="1"/>
  <c r="AV111" i="1"/>
  <c r="AW111" i="1"/>
  <c r="AX111" i="1"/>
  <c r="AY111" i="1"/>
  <c r="AZ111" i="1"/>
  <c r="BA111" i="1"/>
  <c r="BB111" i="1"/>
  <c r="AV112" i="1"/>
  <c r="AW112" i="1"/>
  <c r="AX112" i="1"/>
  <c r="AY112" i="1"/>
  <c r="AZ112" i="1"/>
  <c r="BA112" i="1"/>
  <c r="BB112" i="1"/>
  <c r="AV113" i="1"/>
  <c r="AW113" i="1"/>
  <c r="AX113" i="1"/>
  <c r="AY113" i="1"/>
  <c r="AZ113" i="1"/>
  <c r="BA113" i="1"/>
  <c r="BB113" i="1"/>
  <c r="AV114" i="1"/>
  <c r="AW114" i="1"/>
  <c r="AX114" i="1"/>
  <c r="AY114" i="1"/>
  <c r="AZ114" i="1"/>
  <c r="BA114" i="1"/>
  <c r="BB114" i="1"/>
  <c r="AV115" i="1"/>
  <c r="AW115" i="1"/>
  <c r="AX115" i="1"/>
  <c r="AY115" i="1"/>
  <c r="AZ115" i="1"/>
  <c r="BA115" i="1"/>
  <c r="BB115" i="1"/>
  <c r="AV116" i="1"/>
  <c r="AW116" i="1"/>
  <c r="AX116" i="1"/>
  <c r="AY116" i="1"/>
  <c r="AZ116" i="1"/>
  <c r="BA116" i="1"/>
  <c r="BB116" i="1"/>
  <c r="AV117" i="1"/>
  <c r="AW117" i="1"/>
  <c r="AX117" i="1"/>
  <c r="AY117" i="1"/>
  <c r="AZ117" i="1"/>
  <c r="BA117" i="1"/>
  <c r="BB117" i="1"/>
  <c r="AV118" i="1"/>
  <c r="AW118" i="1"/>
  <c r="AX118" i="1"/>
  <c r="AY118" i="1"/>
  <c r="AZ118" i="1"/>
  <c r="BA118" i="1"/>
  <c r="BB118" i="1"/>
  <c r="AV119" i="1"/>
  <c r="AW119" i="1"/>
  <c r="AX119" i="1"/>
  <c r="AY119" i="1"/>
  <c r="AZ119" i="1"/>
  <c r="BA119" i="1"/>
  <c r="BB119" i="1"/>
  <c r="AV120" i="1"/>
  <c r="AW120" i="1"/>
  <c r="AX120" i="1"/>
  <c r="AY120" i="1"/>
  <c r="AZ120" i="1"/>
  <c r="BA120" i="1"/>
  <c r="BB120" i="1"/>
  <c r="AV121" i="1"/>
  <c r="AW121" i="1"/>
  <c r="AX121" i="1"/>
  <c r="AY121" i="1"/>
  <c r="AZ121" i="1"/>
  <c r="BA121" i="1"/>
  <c r="BB121" i="1"/>
  <c r="AV122" i="1"/>
  <c r="AW122" i="1"/>
  <c r="AX122" i="1"/>
  <c r="AY122" i="1"/>
  <c r="AZ122" i="1"/>
  <c r="BA122" i="1"/>
  <c r="BB122" i="1"/>
  <c r="AV123" i="1"/>
  <c r="AW123" i="1"/>
  <c r="AX123" i="1"/>
  <c r="AY123" i="1"/>
  <c r="AZ123" i="1"/>
  <c r="BA123" i="1"/>
  <c r="BB123" i="1"/>
  <c r="AW124" i="1"/>
  <c r="AX124" i="1"/>
  <c r="AY124" i="1"/>
  <c r="AZ124" i="1"/>
  <c r="BA124" i="1"/>
  <c r="BB124" i="1"/>
  <c r="AW125" i="1"/>
  <c r="AX125" i="1"/>
  <c r="AY125" i="1"/>
  <c r="AZ125" i="1"/>
  <c r="BA125" i="1"/>
  <c r="BB125" i="1"/>
  <c r="AV126" i="1"/>
  <c r="AW126" i="1"/>
  <c r="AX126" i="1"/>
  <c r="AY126" i="1"/>
  <c r="AZ126" i="1"/>
  <c r="BA126" i="1"/>
  <c r="BB126" i="1"/>
  <c r="AV127" i="1"/>
  <c r="AW127" i="1"/>
  <c r="AX127" i="1"/>
  <c r="AY127" i="1"/>
  <c r="AZ127" i="1"/>
  <c r="BA127" i="1"/>
  <c r="BB127" i="1"/>
  <c r="AV128" i="1"/>
  <c r="AW128" i="1"/>
  <c r="AX128" i="1"/>
  <c r="AY128" i="1"/>
  <c r="AZ128" i="1"/>
  <c r="BA128" i="1"/>
  <c r="BB128" i="1"/>
  <c r="AV129" i="1"/>
  <c r="AW129" i="1"/>
  <c r="AX129" i="1"/>
  <c r="AY129" i="1"/>
  <c r="AZ129" i="1"/>
  <c r="BA129" i="1"/>
  <c r="BB129" i="1"/>
  <c r="AW6" i="1"/>
  <c r="AX6" i="1"/>
  <c r="AY6" i="1"/>
  <c r="AZ6" i="1"/>
  <c r="BA6" i="1"/>
  <c r="BB6" i="1"/>
  <c r="AV6" i="1"/>
  <c r="R3" i="1"/>
  <c r="R123" i="1"/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I27" i="1"/>
  <c r="J27" i="1"/>
  <c r="K27" i="1"/>
  <c r="L27" i="1"/>
  <c r="M27" i="1"/>
  <c r="H28" i="1"/>
  <c r="I28" i="1"/>
  <c r="J28" i="1"/>
  <c r="K28" i="1"/>
  <c r="L28" i="1"/>
  <c r="M28" i="1"/>
  <c r="H29" i="1"/>
  <c r="I29" i="1"/>
  <c r="J29" i="1"/>
  <c r="K29" i="1"/>
  <c r="L29" i="1"/>
  <c r="M29" i="1"/>
  <c r="H30" i="1"/>
  <c r="I30" i="1"/>
  <c r="J30" i="1"/>
  <c r="K30" i="1"/>
  <c r="L30" i="1"/>
  <c r="M30" i="1"/>
  <c r="H31" i="1"/>
  <c r="I31" i="1"/>
  <c r="J31" i="1"/>
  <c r="K31" i="1"/>
  <c r="L31" i="1"/>
  <c r="M31" i="1"/>
  <c r="H32" i="1"/>
  <c r="I32" i="1"/>
  <c r="J32" i="1"/>
  <c r="K32" i="1"/>
  <c r="L32" i="1"/>
  <c r="M32" i="1"/>
  <c r="H33" i="1"/>
  <c r="I33" i="1"/>
  <c r="J33" i="1"/>
  <c r="K33" i="1"/>
  <c r="L33" i="1"/>
  <c r="M33" i="1"/>
  <c r="H34" i="1"/>
  <c r="I34" i="1"/>
  <c r="J34" i="1"/>
  <c r="K34" i="1"/>
  <c r="L34" i="1"/>
  <c r="M34" i="1"/>
  <c r="H35" i="1"/>
  <c r="I35" i="1"/>
  <c r="J35" i="1"/>
  <c r="K35" i="1"/>
  <c r="L35" i="1"/>
  <c r="M35" i="1"/>
  <c r="H36" i="1"/>
  <c r="I36" i="1"/>
  <c r="J36" i="1"/>
  <c r="K36" i="1"/>
  <c r="L36" i="1"/>
  <c r="M36" i="1"/>
  <c r="H37" i="1"/>
  <c r="I37" i="1"/>
  <c r="J37" i="1"/>
  <c r="K37" i="1"/>
  <c r="L37" i="1"/>
  <c r="M37" i="1"/>
  <c r="H38" i="1"/>
  <c r="I38" i="1"/>
  <c r="J38" i="1"/>
  <c r="K38" i="1"/>
  <c r="L38" i="1"/>
  <c r="M38" i="1"/>
  <c r="H39" i="1"/>
  <c r="I39" i="1"/>
  <c r="J39" i="1"/>
  <c r="K39" i="1"/>
  <c r="L39" i="1"/>
  <c r="M39" i="1"/>
  <c r="H40" i="1"/>
  <c r="I40" i="1"/>
  <c r="J40" i="1"/>
  <c r="K40" i="1"/>
  <c r="L40" i="1"/>
  <c r="M40" i="1"/>
  <c r="H41" i="1"/>
  <c r="I41" i="1"/>
  <c r="J41" i="1"/>
  <c r="K41" i="1"/>
  <c r="L41" i="1"/>
  <c r="M41" i="1"/>
  <c r="H42" i="1"/>
  <c r="I42" i="1"/>
  <c r="J42" i="1"/>
  <c r="K42" i="1"/>
  <c r="L42" i="1"/>
  <c r="M42" i="1"/>
  <c r="H43" i="1"/>
  <c r="I43" i="1"/>
  <c r="J43" i="1"/>
  <c r="K43" i="1"/>
  <c r="L43" i="1"/>
  <c r="M43" i="1"/>
  <c r="H44" i="1"/>
  <c r="I44" i="1"/>
  <c r="J44" i="1"/>
  <c r="K44" i="1"/>
  <c r="L44" i="1"/>
  <c r="M44" i="1"/>
  <c r="H45" i="1"/>
  <c r="I45" i="1"/>
  <c r="J45" i="1"/>
  <c r="K45" i="1"/>
  <c r="L45" i="1"/>
  <c r="M45" i="1"/>
  <c r="H46" i="1"/>
  <c r="I46" i="1"/>
  <c r="J46" i="1"/>
  <c r="K46" i="1"/>
  <c r="L46" i="1"/>
  <c r="M46" i="1"/>
  <c r="H47" i="1"/>
  <c r="I47" i="1"/>
  <c r="J47" i="1"/>
  <c r="K47" i="1"/>
  <c r="L47" i="1"/>
  <c r="M47" i="1"/>
  <c r="H48" i="1"/>
  <c r="I48" i="1"/>
  <c r="J48" i="1"/>
  <c r="K48" i="1"/>
  <c r="L48" i="1"/>
  <c r="M48" i="1"/>
  <c r="H49" i="1"/>
  <c r="I49" i="1"/>
  <c r="J49" i="1"/>
  <c r="K49" i="1"/>
  <c r="L49" i="1"/>
  <c r="M49" i="1"/>
  <c r="H50" i="1"/>
  <c r="I50" i="1"/>
  <c r="J50" i="1"/>
  <c r="K50" i="1"/>
  <c r="L50" i="1"/>
  <c r="M50" i="1"/>
  <c r="H51" i="1"/>
  <c r="I51" i="1"/>
  <c r="J51" i="1"/>
  <c r="K51" i="1"/>
  <c r="L51" i="1"/>
  <c r="M51" i="1"/>
  <c r="H52" i="1"/>
  <c r="I52" i="1"/>
  <c r="J52" i="1"/>
  <c r="K52" i="1"/>
  <c r="L52" i="1"/>
  <c r="M52" i="1"/>
  <c r="H53" i="1"/>
  <c r="I53" i="1"/>
  <c r="J53" i="1"/>
  <c r="K53" i="1"/>
  <c r="L53" i="1"/>
  <c r="M53" i="1"/>
  <c r="H54" i="1"/>
  <c r="I54" i="1"/>
  <c r="J54" i="1"/>
  <c r="K54" i="1"/>
  <c r="L54" i="1"/>
  <c r="M54" i="1"/>
  <c r="H55" i="1"/>
  <c r="I55" i="1"/>
  <c r="J55" i="1"/>
  <c r="K55" i="1"/>
  <c r="L55" i="1"/>
  <c r="M55" i="1"/>
  <c r="H56" i="1"/>
  <c r="I56" i="1"/>
  <c r="J56" i="1"/>
  <c r="K56" i="1"/>
  <c r="L56" i="1"/>
  <c r="M56" i="1"/>
  <c r="H57" i="1"/>
  <c r="I57" i="1"/>
  <c r="J57" i="1"/>
  <c r="K57" i="1"/>
  <c r="L57" i="1"/>
  <c r="M57" i="1"/>
  <c r="H58" i="1"/>
  <c r="I58" i="1"/>
  <c r="J58" i="1"/>
  <c r="K58" i="1"/>
  <c r="L58" i="1"/>
  <c r="M58" i="1"/>
  <c r="H59" i="1"/>
  <c r="I59" i="1"/>
  <c r="J59" i="1"/>
  <c r="K59" i="1"/>
  <c r="L59" i="1"/>
  <c r="M59" i="1"/>
  <c r="H60" i="1"/>
  <c r="I60" i="1"/>
  <c r="J60" i="1"/>
  <c r="K60" i="1"/>
  <c r="L60" i="1"/>
  <c r="M60" i="1"/>
  <c r="H61" i="1"/>
  <c r="I61" i="1"/>
  <c r="J61" i="1"/>
  <c r="K61" i="1"/>
  <c r="L61" i="1"/>
  <c r="M61" i="1"/>
  <c r="H62" i="1"/>
  <c r="I62" i="1"/>
  <c r="J62" i="1"/>
  <c r="K62" i="1"/>
  <c r="L62" i="1"/>
  <c r="M62" i="1"/>
  <c r="H63" i="1"/>
  <c r="I63" i="1"/>
  <c r="J63" i="1"/>
  <c r="K63" i="1"/>
  <c r="L63" i="1"/>
  <c r="M63" i="1"/>
  <c r="H64" i="1"/>
  <c r="I64" i="1"/>
  <c r="J64" i="1"/>
  <c r="K64" i="1"/>
  <c r="L64" i="1"/>
  <c r="M64" i="1"/>
  <c r="H65" i="1"/>
  <c r="I65" i="1"/>
  <c r="J65" i="1"/>
  <c r="K65" i="1"/>
  <c r="L65" i="1"/>
  <c r="M65" i="1"/>
  <c r="H66" i="1"/>
  <c r="I66" i="1"/>
  <c r="J66" i="1"/>
  <c r="K66" i="1"/>
  <c r="L66" i="1"/>
  <c r="M66" i="1"/>
  <c r="H67" i="1"/>
  <c r="I67" i="1"/>
  <c r="J67" i="1"/>
  <c r="K67" i="1"/>
  <c r="L67" i="1"/>
  <c r="M67" i="1"/>
  <c r="H68" i="1"/>
  <c r="I68" i="1"/>
  <c r="J68" i="1"/>
  <c r="K68" i="1"/>
  <c r="L68" i="1"/>
  <c r="M68" i="1"/>
  <c r="H69" i="1"/>
  <c r="I69" i="1"/>
  <c r="J69" i="1"/>
  <c r="K69" i="1"/>
  <c r="L69" i="1"/>
  <c r="M69" i="1"/>
  <c r="H70" i="1"/>
  <c r="I70" i="1"/>
  <c r="J70" i="1"/>
  <c r="K70" i="1"/>
  <c r="L70" i="1"/>
  <c r="M70" i="1"/>
  <c r="H71" i="1"/>
  <c r="I71" i="1"/>
  <c r="J71" i="1"/>
  <c r="K71" i="1"/>
  <c r="L71" i="1"/>
  <c r="M71" i="1"/>
  <c r="H72" i="1"/>
  <c r="I72" i="1"/>
  <c r="J72" i="1"/>
  <c r="K72" i="1"/>
  <c r="L72" i="1"/>
  <c r="M72" i="1"/>
  <c r="H73" i="1"/>
  <c r="I73" i="1"/>
  <c r="J73" i="1"/>
  <c r="K73" i="1"/>
  <c r="L73" i="1"/>
  <c r="M73" i="1"/>
  <c r="H74" i="1"/>
  <c r="I74" i="1"/>
  <c r="J74" i="1"/>
  <c r="K74" i="1"/>
  <c r="L74" i="1"/>
  <c r="M74" i="1"/>
  <c r="H75" i="1"/>
  <c r="I75" i="1"/>
  <c r="J75" i="1"/>
  <c r="K75" i="1"/>
  <c r="L75" i="1"/>
  <c r="M75" i="1"/>
  <c r="H76" i="1"/>
  <c r="I76" i="1"/>
  <c r="J76" i="1"/>
  <c r="K76" i="1"/>
  <c r="L76" i="1"/>
  <c r="M76" i="1"/>
  <c r="H77" i="1"/>
  <c r="I77" i="1"/>
  <c r="J77" i="1"/>
  <c r="K77" i="1"/>
  <c r="L77" i="1"/>
  <c r="M77" i="1"/>
  <c r="H78" i="1"/>
  <c r="I78" i="1"/>
  <c r="J78" i="1"/>
  <c r="K78" i="1"/>
  <c r="L78" i="1"/>
  <c r="M78" i="1"/>
  <c r="H79" i="1"/>
  <c r="I79" i="1"/>
  <c r="J79" i="1"/>
  <c r="K79" i="1"/>
  <c r="L79" i="1"/>
  <c r="M79" i="1"/>
  <c r="H80" i="1"/>
  <c r="I80" i="1"/>
  <c r="J80" i="1"/>
  <c r="K80" i="1"/>
  <c r="L80" i="1"/>
  <c r="M80" i="1"/>
  <c r="H81" i="1"/>
  <c r="I81" i="1"/>
  <c r="J81" i="1"/>
  <c r="K81" i="1"/>
  <c r="L81" i="1"/>
  <c r="M81" i="1"/>
  <c r="H82" i="1"/>
  <c r="I82" i="1"/>
  <c r="J82" i="1"/>
  <c r="K82" i="1"/>
  <c r="L82" i="1"/>
  <c r="M82" i="1"/>
  <c r="H83" i="1"/>
  <c r="I83" i="1"/>
  <c r="J83" i="1"/>
  <c r="K83" i="1"/>
  <c r="L83" i="1"/>
  <c r="M83" i="1"/>
  <c r="H84" i="1"/>
  <c r="I84" i="1"/>
  <c r="J84" i="1"/>
  <c r="K84" i="1"/>
  <c r="L84" i="1"/>
  <c r="M84" i="1"/>
  <c r="H85" i="1"/>
  <c r="I85" i="1"/>
  <c r="J85" i="1"/>
  <c r="K85" i="1"/>
  <c r="L85" i="1"/>
  <c r="M85" i="1"/>
  <c r="H86" i="1"/>
  <c r="I86" i="1"/>
  <c r="J86" i="1"/>
  <c r="K86" i="1"/>
  <c r="L86" i="1"/>
  <c r="M86" i="1"/>
  <c r="H87" i="1"/>
  <c r="I87" i="1"/>
  <c r="J87" i="1"/>
  <c r="K87" i="1"/>
  <c r="L87" i="1"/>
  <c r="M87" i="1"/>
  <c r="H88" i="1"/>
  <c r="I88" i="1"/>
  <c r="J88" i="1"/>
  <c r="K88" i="1"/>
  <c r="L88" i="1"/>
  <c r="M88" i="1"/>
  <c r="H89" i="1"/>
  <c r="I89" i="1"/>
  <c r="J89" i="1"/>
  <c r="K89" i="1"/>
  <c r="L89" i="1"/>
  <c r="M89" i="1"/>
  <c r="H90" i="1"/>
  <c r="I90" i="1"/>
  <c r="J90" i="1"/>
  <c r="K90" i="1"/>
  <c r="L90" i="1"/>
  <c r="M90" i="1"/>
  <c r="H91" i="1"/>
  <c r="I91" i="1"/>
  <c r="J91" i="1"/>
  <c r="K91" i="1"/>
  <c r="L91" i="1"/>
  <c r="M91" i="1"/>
  <c r="H92" i="1"/>
  <c r="I92" i="1"/>
  <c r="J92" i="1"/>
  <c r="K92" i="1"/>
  <c r="L92" i="1"/>
  <c r="M92" i="1"/>
  <c r="H93" i="1"/>
  <c r="I93" i="1"/>
  <c r="J93" i="1"/>
  <c r="K93" i="1"/>
  <c r="L93" i="1"/>
  <c r="M93" i="1"/>
  <c r="H94" i="1"/>
  <c r="I94" i="1"/>
  <c r="J94" i="1"/>
  <c r="K94" i="1"/>
  <c r="L94" i="1"/>
  <c r="M94" i="1"/>
  <c r="H95" i="1"/>
  <c r="I95" i="1"/>
  <c r="J95" i="1"/>
  <c r="K95" i="1"/>
  <c r="L95" i="1"/>
  <c r="M95" i="1"/>
  <c r="H96" i="1"/>
  <c r="I96" i="1"/>
  <c r="J96" i="1"/>
  <c r="K96" i="1"/>
  <c r="L96" i="1"/>
  <c r="M96" i="1"/>
  <c r="H97" i="1"/>
  <c r="I97" i="1"/>
  <c r="J97" i="1"/>
  <c r="K97" i="1"/>
  <c r="L97" i="1"/>
  <c r="M97" i="1"/>
  <c r="H98" i="1"/>
  <c r="I98" i="1"/>
  <c r="J98" i="1"/>
  <c r="K98" i="1"/>
  <c r="L98" i="1"/>
  <c r="M98" i="1"/>
  <c r="H99" i="1"/>
  <c r="I99" i="1"/>
  <c r="J99" i="1"/>
  <c r="K99" i="1"/>
  <c r="L99" i="1"/>
  <c r="M99" i="1"/>
  <c r="H100" i="1"/>
  <c r="I100" i="1"/>
  <c r="J100" i="1"/>
  <c r="K100" i="1"/>
  <c r="L100" i="1"/>
  <c r="M100" i="1"/>
  <c r="H101" i="1"/>
  <c r="I101" i="1"/>
  <c r="J101" i="1"/>
  <c r="K101" i="1"/>
  <c r="L101" i="1"/>
  <c r="M101" i="1"/>
  <c r="H102" i="1"/>
  <c r="I102" i="1"/>
  <c r="J102" i="1"/>
  <c r="K102" i="1"/>
  <c r="L102" i="1"/>
  <c r="M102" i="1"/>
  <c r="H103" i="1"/>
  <c r="I103" i="1"/>
  <c r="J103" i="1"/>
  <c r="K103" i="1"/>
  <c r="L103" i="1"/>
  <c r="M103" i="1"/>
  <c r="H104" i="1"/>
  <c r="I104" i="1"/>
  <c r="J104" i="1"/>
  <c r="K104" i="1"/>
  <c r="L104" i="1"/>
  <c r="M104" i="1"/>
  <c r="H105" i="1"/>
  <c r="I105" i="1"/>
  <c r="J105" i="1"/>
  <c r="K105" i="1"/>
  <c r="L105" i="1"/>
  <c r="M105" i="1"/>
  <c r="H106" i="1"/>
  <c r="I106" i="1"/>
  <c r="J106" i="1"/>
  <c r="K106" i="1"/>
  <c r="L106" i="1"/>
  <c r="M106" i="1"/>
  <c r="H107" i="1"/>
  <c r="I107" i="1"/>
  <c r="J107" i="1"/>
  <c r="K107" i="1"/>
  <c r="L107" i="1"/>
  <c r="M107" i="1"/>
  <c r="H108" i="1"/>
  <c r="I108" i="1"/>
  <c r="J108" i="1"/>
  <c r="K108" i="1"/>
  <c r="L108" i="1"/>
  <c r="M108" i="1"/>
  <c r="H109" i="1"/>
  <c r="I109" i="1"/>
  <c r="J109" i="1"/>
  <c r="K109" i="1"/>
  <c r="L109" i="1"/>
  <c r="M109" i="1"/>
  <c r="H110" i="1"/>
  <c r="I110" i="1"/>
  <c r="J110" i="1"/>
  <c r="K110" i="1"/>
  <c r="L110" i="1"/>
  <c r="M110" i="1"/>
  <c r="H111" i="1"/>
  <c r="I111" i="1"/>
  <c r="J111" i="1"/>
  <c r="K111" i="1"/>
  <c r="L111" i="1"/>
  <c r="M111" i="1"/>
  <c r="H112" i="1"/>
  <c r="I112" i="1"/>
  <c r="J112" i="1"/>
  <c r="K112" i="1"/>
  <c r="L112" i="1"/>
  <c r="M112" i="1"/>
  <c r="H113" i="1"/>
  <c r="I113" i="1"/>
  <c r="J113" i="1"/>
  <c r="K113" i="1"/>
  <c r="L113" i="1"/>
  <c r="M113" i="1"/>
  <c r="H114" i="1"/>
  <c r="I114" i="1"/>
  <c r="J114" i="1"/>
  <c r="K114" i="1"/>
  <c r="L114" i="1"/>
  <c r="M114" i="1"/>
  <c r="H115" i="1"/>
  <c r="I115" i="1"/>
  <c r="J115" i="1"/>
  <c r="K115" i="1"/>
  <c r="L115" i="1"/>
  <c r="M115" i="1"/>
  <c r="H116" i="1"/>
  <c r="I116" i="1"/>
  <c r="J116" i="1"/>
  <c r="K116" i="1"/>
  <c r="L116" i="1"/>
  <c r="M116" i="1"/>
  <c r="H117" i="1"/>
  <c r="I117" i="1"/>
  <c r="J117" i="1"/>
  <c r="K117" i="1"/>
  <c r="L117" i="1"/>
  <c r="M117" i="1"/>
  <c r="H118" i="1"/>
  <c r="I118" i="1"/>
  <c r="J118" i="1"/>
  <c r="K118" i="1"/>
  <c r="L118" i="1"/>
  <c r="M118" i="1"/>
  <c r="H119" i="1"/>
  <c r="I119" i="1"/>
  <c r="J119" i="1"/>
  <c r="K119" i="1"/>
  <c r="L119" i="1"/>
  <c r="M119" i="1"/>
  <c r="H120" i="1"/>
  <c r="I120" i="1"/>
  <c r="J120" i="1"/>
  <c r="K120" i="1"/>
  <c r="L120" i="1"/>
  <c r="M120" i="1"/>
  <c r="H121" i="1"/>
  <c r="I121" i="1"/>
  <c r="J121" i="1"/>
  <c r="K121" i="1"/>
  <c r="L121" i="1"/>
  <c r="M121" i="1"/>
  <c r="H122" i="1"/>
  <c r="I122" i="1"/>
  <c r="J122" i="1"/>
  <c r="K122" i="1"/>
  <c r="L122" i="1"/>
  <c r="M122" i="1"/>
  <c r="I123" i="1"/>
  <c r="J123" i="1"/>
  <c r="K123" i="1"/>
  <c r="L123" i="1"/>
  <c r="M123" i="1"/>
  <c r="H123" i="1"/>
  <c r="H124" i="1"/>
  <c r="H125" i="1" s="1"/>
  <c r="V122" i="1" l="1"/>
  <c r="V123" i="1"/>
  <c r="U122" i="1"/>
  <c r="F127" i="1"/>
  <c r="U123" i="1"/>
  <c r="AA125" i="1"/>
  <c r="AJ126" i="1" s="1"/>
  <c r="AA126" i="1"/>
  <c r="AJ127" i="1" s="1"/>
  <c r="AC124" i="1"/>
  <c r="AL125" i="1" s="1"/>
  <c r="AD124" i="1"/>
  <c r="AM125" i="1" s="1"/>
  <c r="AE124" i="1"/>
  <c r="AN125" i="1" s="1"/>
  <c r="AF124" i="1"/>
  <c r="AO125" i="1" s="1"/>
  <c r="AB124" i="1"/>
  <c r="AK125" i="1" s="1"/>
  <c r="H126" i="1"/>
  <c r="H127" i="1" s="1"/>
  <c r="H128" i="1" s="1"/>
  <c r="H129" i="1" s="1"/>
  <c r="I124" i="1"/>
  <c r="I125" i="1" s="1"/>
  <c r="J124" i="1"/>
  <c r="J125" i="1" s="1"/>
  <c r="K124" i="1"/>
  <c r="K125" i="1" s="1"/>
  <c r="L124" i="1"/>
  <c r="L125" i="1" s="1"/>
  <c r="M124" i="1"/>
  <c r="M125" i="1" s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8" i="1"/>
  <c r="M126" i="1" l="1"/>
  <c r="M127" i="1" s="1"/>
  <c r="M128" i="1" s="1"/>
  <c r="M129" i="1" s="1"/>
  <c r="N125" i="1"/>
  <c r="AG126" i="1" s="1"/>
  <c r="AF126" i="1"/>
  <c r="AO127" i="1" s="1"/>
  <c r="AD126" i="1"/>
  <c r="AM127" i="1" s="1"/>
  <c r="K126" i="1"/>
  <c r="K127" i="1" s="1"/>
  <c r="K128" i="1" s="1"/>
  <c r="K129" i="1" s="1"/>
  <c r="J126" i="1"/>
  <c r="J127" i="1" s="1"/>
  <c r="J128" i="1" s="1"/>
  <c r="J129" i="1" s="1"/>
  <c r="AC126" i="1"/>
  <c r="AL127" i="1" s="1"/>
  <c r="AS127" i="1" s="1"/>
  <c r="AE126" i="1"/>
  <c r="AN127" i="1" s="1"/>
  <c r="L126" i="1"/>
  <c r="L127" i="1" s="1"/>
  <c r="L128" i="1" s="1"/>
  <c r="L129" i="1" s="1"/>
  <c r="AB126" i="1"/>
  <c r="AK127" i="1" s="1"/>
  <c r="I126" i="1"/>
  <c r="I127" i="1" s="1"/>
  <c r="I128" i="1" s="1"/>
  <c r="I129" i="1" s="1"/>
  <c r="N129" i="1" s="1"/>
  <c r="N124" i="1"/>
  <c r="AG125" i="1" s="1"/>
  <c r="AF125" i="1"/>
  <c r="AO126" i="1" s="1"/>
  <c r="AE125" i="1"/>
  <c r="AN126" i="1" s="1"/>
  <c r="AD125" i="1"/>
  <c r="AM126" i="1" s="1"/>
  <c r="AB125" i="1"/>
  <c r="AK126" i="1" s="1"/>
  <c r="AS126" i="1" s="1"/>
  <c r="AC125" i="1"/>
  <c r="AL126" i="1" s="1"/>
  <c r="X125" i="1"/>
  <c r="AP126" i="1" s="1"/>
  <c r="AS125" i="1"/>
  <c r="AT125" i="1"/>
  <c r="AT126" i="1"/>
  <c r="AT127" i="1"/>
  <c r="AE129" i="1"/>
  <c r="N126" i="1"/>
  <c r="AC128" i="1"/>
  <c r="AL129" i="1" s="1"/>
  <c r="AB129" i="1"/>
  <c r="AD129" i="1"/>
  <c r="AF127" i="1"/>
  <c r="AO128" i="1" s="1"/>
  <c r="AF129" i="1"/>
  <c r="AE127" i="1"/>
  <c r="AN128" i="1" s="1"/>
  <c r="AB127" i="1"/>
  <c r="AK128" i="1" s="1"/>
  <c r="AD127" i="1"/>
  <c r="AM128" i="1" s="1"/>
  <c r="AF128" i="1"/>
  <c r="AO129" i="1" s="1"/>
  <c r="AC127" i="1"/>
  <c r="AL128" i="1" s="1"/>
  <c r="AA129" i="1"/>
  <c r="AE128" i="1"/>
  <c r="AN129" i="1" s="1"/>
  <c r="AA128" i="1"/>
  <c r="AJ129" i="1" s="1"/>
  <c r="N127" i="1"/>
  <c r="AD128" i="1"/>
  <c r="AM129" i="1" s="1"/>
  <c r="AA127" i="1"/>
  <c r="AJ128" i="1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3" i="1"/>
  <c r="N9" i="1"/>
  <c r="AG10" i="1" s="1"/>
  <c r="AA3" i="1"/>
  <c r="AB3" i="1"/>
  <c r="AA4" i="1"/>
  <c r="AB4" i="1"/>
  <c r="AC4" i="1"/>
  <c r="AD4" i="1"/>
  <c r="AE4" i="1"/>
  <c r="AF4" i="1"/>
  <c r="AA5" i="1"/>
  <c r="AB5" i="1"/>
  <c r="AC5" i="1"/>
  <c r="AD5" i="1"/>
  <c r="AE5" i="1"/>
  <c r="AF5" i="1"/>
  <c r="AA6" i="1"/>
  <c r="AB6" i="1"/>
  <c r="AC6" i="1"/>
  <c r="AD6" i="1"/>
  <c r="AE6" i="1"/>
  <c r="AF6" i="1"/>
  <c r="AA7" i="1"/>
  <c r="AB7" i="1"/>
  <c r="AC7" i="1"/>
  <c r="AD7" i="1"/>
  <c r="AE7" i="1"/>
  <c r="AF7" i="1"/>
  <c r="AA8" i="1"/>
  <c r="AB8" i="1"/>
  <c r="AC8" i="1"/>
  <c r="AD8" i="1"/>
  <c r="AE8" i="1"/>
  <c r="AF8" i="1"/>
  <c r="AA9" i="1"/>
  <c r="AB9" i="1"/>
  <c r="AC9" i="1"/>
  <c r="AD9" i="1"/>
  <c r="AE9" i="1"/>
  <c r="AF9" i="1"/>
  <c r="AA10" i="1"/>
  <c r="AB10" i="1"/>
  <c r="AC10" i="1"/>
  <c r="AD10" i="1"/>
  <c r="AE10" i="1"/>
  <c r="AF10" i="1"/>
  <c r="AA11" i="1"/>
  <c r="AB11" i="1"/>
  <c r="AC11" i="1"/>
  <c r="AD11" i="1"/>
  <c r="AE11" i="1"/>
  <c r="AF11" i="1"/>
  <c r="AA12" i="1"/>
  <c r="AB12" i="1"/>
  <c r="AC12" i="1"/>
  <c r="AD12" i="1"/>
  <c r="AE12" i="1"/>
  <c r="AF12" i="1"/>
  <c r="AA13" i="1"/>
  <c r="AB13" i="1"/>
  <c r="AC13" i="1"/>
  <c r="AD13" i="1"/>
  <c r="AE13" i="1"/>
  <c r="AF13" i="1"/>
  <c r="AA14" i="1"/>
  <c r="AB14" i="1"/>
  <c r="AC14" i="1"/>
  <c r="AD14" i="1"/>
  <c r="AE14" i="1"/>
  <c r="AF14" i="1"/>
  <c r="AA15" i="1"/>
  <c r="AB15" i="1"/>
  <c r="AC15" i="1"/>
  <c r="AD15" i="1"/>
  <c r="AE15" i="1"/>
  <c r="AF15" i="1"/>
  <c r="AA16" i="1"/>
  <c r="AB16" i="1"/>
  <c r="AC16" i="1"/>
  <c r="AD16" i="1"/>
  <c r="AE16" i="1"/>
  <c r="AF16" i="1"/>
  <c r="AA17" i="1"/>
  <c r="AB17" i="1"/>
  <c r="AC17" i="1"/>
  <c r="AD17" i="1"/>
  <c r="AE17" i="1"/>
  <c r="AF17" i="1"/>
  <c r="AA18" i="1"/>
  <c r="AB18" i="1"/>
  <c r="AC18" i="1"/>
  <c r="AD18" i="1"/>
  <c r="AE18" i="1"/>
  <c r="AF18" i="1"/>
  <c r="AA19" i="1"/>
  <c r="AB19" i="1"/>
  <c r="AC19" i="1"/>
  <c r="AD19" i="1"/>
  <c r="AE19" i="1"/>
  <c r="AF19" i="1"/>
  <c r="AA20" i="1"/>
  <c r="AB20" i="1"/>
  <c r="AC20" i="1"/>
  <c r="AD20" i="1"/>
  <c r="AE20" i="1"/>
  <c r="AF20" i="1"/>
  <c r="AA21" i="1"/>
  <c r="AB21" i="1"/>
  <c r="AC21" i="1"/>
  <c r="AD21" i="1"/>
  <c r="AE21" i="1"/>
  <c r="AF21" i="1"/>
  <c r="AA22" i="1"/>
  <c r="AB22" i="1"/>
  <c r="AC22" i="1"/>
  <c r="AD22" i="1"/>
  <c r="AE22" i="1"/>
  <c r="AF22" i="1"/>
  <c r="AA23" i="1"/>
  <c r="AB23" i="1"/>
  <c r="AC23" i="1"/>
  <c r="AD23" i="1"/>
  <c r="AE23" i="1"/>
  <c r="AF23" i="1"/>
  <c r="AA24" i="1"/>
  <c r="AB24" i="1"/>
  <c r="AC24" i="1"/>
  <c r="AD24" i="1"/>
  <c r="AE24" i="1"/>
  <c r="AF24" i="1"/>
  <c r="AA25" i="1"/>
  <c r="AB25" i="1"/>
  <c r="AC25" i="1"/>
  <c r="AD25" i="1"/>
  <c r="AE25" i="1"/>
  <c r="AF25" i="1"/>
  <c r="AA26" i="1"/>
  <c r="AB26" i="1"/>
  <c r="AC26" i="1"/>
  <c r="AD26" i="1"/>
  <c r="AE26" i="1"/>
  <c r="AF26" i="1"/>
  <c r="AA27" i="1"/>
  <c r="AB27" i="1"/>
  <c r="AC27" i="1"/>
  <c r="AD27" i="1"/>
  <c r="AE27" i="1"/>
  <c r="AF27" i="1"/>
  <c r="AA28" i="1"/>
  <c r="AB28" i="1"/>
  <c r="AC28" i="1"/>
  <c r="AD28" i="1"/>
  <c r="AE28" i="1"/>
  <c r="AF28" i="1"/>
  <c r="AA29" i="1"/>
  <c r="AB29" i="1"/>
  <c r="AC29" i="1"/>
  <c r="AD29" i="1"/>
  <c r="AE29" i="1"/>
  <c r="AF29" i="1"/>
  <c r="AA30" i="1"/>
  <c r="AB30" i="1"/>
  <c r="AC30" i="1"/>
  <c r="AD30" i="1"/>
  <c r="AE30" i="1"/>
  <c r="AF30" i="1"/>
  <c r="AA31" i="1"/>
  <c r="AB31" i="1"/>
  <c r="AC31" i="1"/>
  <c r="AD31" i="1"/>
  <c r="AE31" i="1"/>
  <c r="AF31" i="1"/>
  <c r="AA32" i="1"/>
  <c r="AB32" i="1"/>
  <c r="AC32" i="1"/>
  <c r="AD32" i="1"/>
  <c r="AE32" i="1"/>
  <c r="AF32" i="1"/>
  <c r="AA33" i="1"/>
  <c r="AB33" i="1"/>
  <c r="AC33" i="1"/>
  <c r="AD33" i="1"/>
  <c r="AE33" i="1"/>
  <c r="AF33" i="1"/>
  <c r="AA34" i="1"/>
  <c r="AB34" i="1"/>
  <c r="AC34" i="1"/>
  <c r="AD34" i="1"/>
  <c r="AE34" i="1"/>
  <c r="AF34" i="1"/>
  <c r="AA35" i="1"/>
  <c r="AB35" i="1"/>
  <c r="AC35" i="1"/>
  <c r="AD35" i="1"/>
  <c r="AE35" i="1"/>
  <c r="AF35" i="1"/>
  <c r="AA36" i="1"/>
  <c r="AB36" i="1"/>
  <c r="AC36" i="1"/>
  <c r="AD36" i="1"/>
  <c r="AE36" i="1"/>
  <c r="AF36" i="1"/>
  <c r="AA37" i="1"/>
  <c r="AB37" i="1"/>
  <c r="AC37" i="1"/>
  <c r="AD37" i="1"/>
  <c r="AE37" i="1"/>
  <c r="AF37" i="1"/>
  <c r="AA38" i="1"/>
  <c r="AB38" i="1"/>
  <c r="AC38" i="1"/>
  <c r="AD38" i="1"/>
  <c r="AE38" i="1"/>
  <c r="AF38" i="1"/>
  <c r="AA39" i="1"/>
  <c r="AB39" i="1"/>
  <c r="AC39" i="1"/>
  <c r="AD39" i="1"/>
  <c r="AE39" i="1"/>
  <c r="AF39" i="1"/>
  <c r="AA40" i="1"/>
  <c r="AB40" i="1"/>
  <c r="AC40" i="1"/>
  <c r="AD40" i="1"/>
  <c r="AE40" i="1"/>
  <c r="AF40" i="1"/>
  <c r="AA41" i="1"/>
  <c r="AB41" i="1"/>
  <c r="AC41" i="1"/>
  <c r="AD41" i="1"/>
  <c r="AE41" i="1"/>
  <c r="AF41" i="1"/>
  <c r="AA42" i="1"/>
  <c r="AB42" i="1"/>
  <c r="AC42" i="1"/>
  <c r="AL43" i="1" s="1"/>
  <c r="AD42" i="1"/>
  <c r="AE42" i="1"/>
  <c r="AF42" i="1"/>
  <c r="AA43" i="1"/>
  <c r="AB43" i="1"/>
  <c r="AC43" i="1"/>
  <c r="AD43" i="1"/>
  <c r="AE43" i="1"/>
  <c r="AF43" i="1"/>
  <c r="AA44" i="1"/>
  <c r="AB44" i="1"/>
  <c r="AC44" i="1"/>
  <c r="AD44" i="1"/>
  <c r="AE44" i="1"/>
  <c r="AF44" i="1"/>
  <c r="AA45" i="1"/>
  <c r="AB45" i="1"/>
  <c r="AC45" i="1"/>
  <c r="AD45" i="1"/>
  <c r="AE45" i="1"/>
  <c r="AF45" i="1"/>
  <c r="AA46" i="1"/>
  <c r="AB46" i="1"/>
  <c r="AC46" i="1"/>
  <c r="AD46" i="1"/>
  <c r="AE46" i="1"/>
  <c r="AF46" i="1"/>
  <c r="AA47" i="1"/>
  <c r="AB47" i="1"/>
  <c r="AC47" i="1"/>
  <c r="AD47" i="1"/>
  <c r="AE47" i="1"/>
  <c r="AF47" i="1"/>
  <c r="AA48" i="1"/>
  <c r="AB48" i="1"/>
  <c r="AC48" i="1"/>
  <c r="AD48" i="1"/>
  <c r="AE48" i="1"/>
  <c r="AF48" i="1"/>
  <c r="AA49" i="1"/>
  <c r="AB49" i="1"/>
  <c r="AC49" i="1"/>
  <c r="AD49" i="1"/>
  <c r="AE49" i="1"/>
  <c r="AF49" i="1"/>
  <c r="AA50" i="1"/>
  <c r="AB50" i="1"/>
  <c r="AC50" i="1"/>
  <c r="AD50" i="1"/>
  <c r="AE50" i="1"/>
  <c r="AF50" i="1"/>
  <c r="AA51" i="1"/>
  <c r="AB51" i="1"/>
  <c r="AC51" i="1"/>
  <c r="AD51" i="1"/>
  <c r="AE51" i="1"/>
  <c r="AF51" i="1"/>
  <c r="AA52" i="1"/>
  <c r="AB52" i="1"/>
  <c r="AC52" i="1"/>
  <c r="AD52" i="1"/>
  <c r="AE52" i="1"/>
  <c r="AF52" i="1"/>
  <c r="AA53" i="1"/>
  <c r="AB53" i="1"/>
  <c r="AC53" i="1"/>
  <c r="AD53" i="1"/>
  <c r="AE53" i="1"/>
  <c r="AF53" i="1"/>
  <c r="AA54" i="1"/>
  <c r="AB54" i="1"/>
  <c r="AC54" i="1"/>
  <c r="AD54" i="1"/>
  <c r="AE54" i="1"/>
  <c r="AF54" i="1"/>
  <c r="AA55" i="1"/>
  <c r="AB55" i="1"/>
  <c r="AC55" i="1"/>
  <c r="AD55" i="1"/>
  <c r="AE55" i="1"/>
  <c r="AF55" i="1"/>
  <c r="AA56" i="1"/>
  <c r="AB56" i="1"/>
  <c r="AC56" i="1"/>
  <c r="AD56" i="1"/>
  <c r="AE56" i="1"/>
  <c r="AF56" i="1"/>
  <c r="AA57" i="1"/>
  <c r="AB57" i="1"/>
  <c r="AC57" i="1"/>
  <c r="AD57" i="1"/>
  <c r="AE57" i="1"/>
  <c r="AF57" i="1"/>
  <c r="AA58" i="1"/>
  <c r="AB58" i="1"/>
  <c r="AC58" i="1"/>
  <c r="AD58" i="1"/>
  <c r="AE58" i="1"/>
  <c r="AF58" i="1"/>
  <c r="AA59" i="1"/>
  <c r="AB59" i="1"/>
  <c r="AC59" i="1"/>
  <c r="AD59" i="1"/>
  <c r="AE59" i="1"/>
  <c r="AF59" i="1"/>
  <c r="AA60" i="1"/>
  <c r="AB60" i="1"/>
  <c r="AC60" i="1"/>
  <c r="AD60" i="1"/>
  <c r="AE60" i="1"/>
  <c r="AF60" i="1"/>
  <c r="AA61" i="1"/>
  <c r="AB61" i="1"/>
  <c r="AC61" i="1"/>
  <c r="AD61" i="1"/>
  <c r="AE61" i="1"/>
  <c r="AF61" i="1"/>
  <c r="AA62" i="1"/>
  <c r="AB62" i="1"/>
  <c r="AC62" i="1"/>
  <c r="AD62" i="1"/>
  <c r="AE62" i="1"/>
  <c r="AF62" i="1"/>
  <c r="AA63" i="1"/>
  <c r="AB63" i="1"/>
  <c r="AC63" i="1"/>
  <c r="AD63" i="1"/>
  <c r="AE63" i="1"/>
  <c r="AF63" i="1"/>
  <c r="AA64" i="1"/>
  <c r="AB64" i="1"/>
  <c r="AC64" i="1"/>
  <c r="AD64" i="1"/>
  <c r="AE64" i="1"/>
  <c r="AF64" i="1"/>
  <c r="AA65" i="1"/>
  <c r="AB65" i="1"/>
  <c r="AC65" i="1"/>
  <c r="AD65" i="1"/>
  <c r="AE65" i="1"/>
  <c r="AF65" i="1"/>
  <c r="AA66" i="1"/>
  <c r="AB66" i="1"/>
  <c r="AC66" i="1"/>
  <c r="AD66" i="1"/>
  <c r="AE66" i="1"/>
  <c r="AF66" i="1"/>
  <c r="AA67" i="1"/>
  <c r="AB67" i="1"/>
  <c r="AC67" i="1"/>
  <c r="AD67" i="1"/>
  <c r="AE67" i="1"/>
  <c r="AF67" i="1"/>
  <c r="AA68" i="1"/>
  <c r="AB68" i="1"/>
  <c r="AC68" i="1"/>
  <c r="AD68" i="1"/>
  <c r="AE68" i="1"/>
  <c r="AF68" i="1"/>
  <c r="AA69" i="1"/>
  <c r="AB69" i="1"/>
  <c r="AC69" i="1"/>
  <c r="AD69" i="1"/>
  <c r="AE69" i="1"/>
  <c r="AF69" i="1"/>
  <c r="AA70" i="1"/>
  <c r="AB70" i="1"/>
  <c r="AC70" i="1"/>
  <c r="AD70" i="1"/>
  <c r="AE70" i="1"/>
  <c r="AF70" i="1"/>
  <c r="AA71" i="1"/>
  <c r="AB71" i="1"/>
  <c r="AC71" i="1"/>
  <c r="AD71" i="1"/>
  <c r="AE71" i="1"/>
  <c r="AF71" i="1"/>
  <c r="AA72" i="1"/>
  <c r="AB72" i="1"/>
  <c r="AC72" i="1"/>
  <c r="AD72" i="1"/>
  <c r="AE72" i="1"/>
  <c r="AF72" i="1"/>
  <c r="AA73" i="1"/>
  <c r="AB73" i="1"/>
  <c r="AC73" i="1"/>
  <c r="AD73" i="1"/>
  <c r="AE73" i="1"/>
  <c r="AF73" i="1"/>
  <c r="AA74" i="1"/>
  <c r="AB74" i="1"/>
  <c r="AC74" i="1"/>
  <c r="AD74" i="1"/>
  <c r="AE74" i="1"/>
  <c r="AF74" i="1"/>
  <c r="AA75" i="1"/>
  <c r="AB75" i="1"/>
  <c r="AC75" i="1"/>
  <c r="AD75" i="1"/>
  <c r="AE75" i="1"/>
  <c r="AF75" i="1"/>
  <c r="AA76" i="1"/>
  <c r="AB76" i="1"/>
  <c r="AC76" i="1"/>
  <c r="AD76" i="1"/>
  <c r="AE76" i="1"/>
  <c r="AF76" i="1"/>
  <c r="AA77" i="1"/>
  <c r="AB77" i="1"/>
  <c r="AC77" i="1"/>
  <c r="AD77" i="1"/>
  <c r="AE77" i="1"/>
  <c r="AF77" i="1"/>
  <c r="AA78" i="1"/>
  <c r="AB78" i="1"/>
  <c r="AC78" i="1"/>
  <c r="AD78" i="1"/>
  <c r="AE78" i="1"/>
  <c r="AF78" i="1"/>
  <c r="AA79" i="1"/>
  <c r="AB79" i="1"/>
  <c r="AC79" i="1"/>
  <c r="AD79" i="1"/>
  <c r="AE79" i="1"/>
  <c r="AF79" i="1"/>
  <c r="AA80" i="1"/>
  <c r="AB80" i="1"/>
  <c r="AC80" i="1"/>
  <c r="AD80" i="1"/>
  <c r="AE80" i="1"/>
  <c r="AF80" i="1"/>
  <c r="AA81" i="1"/>
  <c r="AB81" i="1"/>
  <c r="AC81" i="1"/>
  <c r="AD81" i="1"/>
  <c r="AE81" i="1"/>
  <c r="AF81" i="1"/>
  <c r="AA82" i="1"/>
  <c r="AB82" i="1"/>
  <c r="AC82" i="1"/>
  <c r="AD82" i="1"/>
  <c r="AE82" i="1"/>
  <c r="AF82" i="1"/>
  <c r="AA83" i="1"/>
  <c r="AB83" i="1"/>
  <c r="AC83" i="1"/>
  <c r="AD83" i="1"/>
  <c r="AE83" i="1"/>
  <c r="AF83" i="1"/>
  <c r="AA84" i="1"/>
  <c r="AB84" i="1"/>
  <c r="AC84" i="1"/>
  <c r="AD84" i="1"/>
  <c r="AE84" i="1"/>
  <c r="AF84" i="1"/>
  <c r="AA85" i="1"/>
  <c r="AB85" i="1"/>
  <c r="AC85" i="1"/>
  <c r="AD85" i="1"/>
  <c r="AE85" i="1"/>
  <c r="AF85" i="1"/>
  <c r="AA86" i="1"/>
  <c r="AB86" i="1"/>
  <c r="AC86" i="1"/>
  <c r="AD86" i="1"/>
  <c r="AE86" i="1"/>
  <c r="AF86" i="1"/>
  <c r="AA87" i="1"/>
  <c r="AB87" i="1"/>
  <c r="AC87" i="1"/>
  <c r="AD87" i="1"/>
  <c r="AE87" i="1"/>
  <c r="AF87" i="1"/>
  <c r="AA88" i="1"/>
  <c r="AB88" i="1"/>
  <c r="AC88" i="1"/>
  <c r="AD88" i="1"/>
  <c r="AE88" i="1"/>
  <c r="AF88" i="1"/>
  <c r="AA89" i="1"/>
  <c r="AB89" i="1"/>
  <c r="AC89" i="1"/>
  <c r="AD89" i="1"/>
  <c r="AE89" i="1"/>
  <c r="AF89" i="1"/>
  <c r="AA90" i="1"/>
  <c r="AB90" i="1"/>
  <c r="AC90" i="1"/>
  <c r="AD90" i="1"/>
  <c r="AE90" i="1"/>
  <c r="AF90" i="1"/>
  <c r="AA91" i="1"/>
  <c r="AB91" i="1"/>
  <c r="AC91" i="1"/>
  <c r="AD91" i="1"/>
  <c r="AE91" i="1"/>
  <c r="AF91" i="1"/>
  <c r="AA92" i="1"/>
  <c r="AB92" i="1"/>
  <c r="AC92" i="1"/>
  <c r="AL93" i="1" s="1"/>
  <c r="AD92" i="1"/>
  <c r="AE92" i="1"/>
  <c r="AF92" i="1"/>
  <c r="AA93" i="1"/>
  <c r="AB93" i="1"/>
  <c r="AC93" i="1"/>
  <c r="AD93" i="1"/>
  <c r="AE93" i="1"/>
  <c r="AF93" i="1"/>
  <c r="AA94" i="1"/>
  <c r="AB94" i="1"/>
  <c r="AC94" i="1"/>
  <c r="AD94" i="1"/>
  <c r="AE94" i="1"/>
  <c r="AF94" i="1"/>
  <c r="AA95" i="1"/>
  <c r="AB95" i="1"/>
  <c r="AC95" i="1"/>
  <c r="AD95" i="1"/>
  <c r="AE95" i="1"/>
  <c r="AF95" i="1"/>
  <c r="AA96" i="1"/>
  <c r="AB96" i="1"/>
  <c r="AC96" i="1"/>
  <c r="AD96" i="1"/>
  <c r="AE96" i="1"/>
  <c r="AF96" i="1"/>
  <c r="AA97" i="1"/>
  <c r="AB97" i="1"/>
  <c r="AC97" i="1"/>
  <c r="AD97" i="1"/>
  <c r="AE97" i="1"/>
  <c r="AF97" i="1"/>
  <c r="AA98" i="1"/>
  <c r="AB98" i="1"/>
  <c r="AC98" i="1"/>
  <c r="AD98" i="1"/>
  <c r="AE98" i="1"/>
  <c r="AF98" i="1"/>
  <c r="AA99" i="1"/>
  <c r="AB99" i="1"/>
  <c r="AC99" i="1"/>
  <c r="AD99" i="1"/>
  <c r="AE99" i="1"/>
  <c r="AF99" i="1"/>
  <c r="AA100" i="1"/>
  <c r="AB100" i="1"/>
  <c r="AC100" i="1"/>
  <c r="AD100" i="1"/>
  <c r="AE100" i="1"/>
  <c r="AF100" i="1"/>
  <c r="AA101" i="1"/>
  <c r="AB101" i="1"/>
  <c r="AC101" i="1"/>
  <c r="AD101" i="1"/>
  <c r="AE101" i="1"/>
  <c r="AF101" i="1"/>
  <c r="AA102" i="1"/>
  <c r="AB102" i="1"/>
  <c r="AC102" i="1"/>
  <c r="AD102" i="1"/>
  <c r="AE102" i="1"/>
  <c r="AF102" i="1"/>
  <c r="AA103" i="1"/>
  <c r="AB103" i="1"/>
  <c r="AC103" i="1"/>
  <c r="AD103" i="1"/>
  <c r="AE103" i="1"/>
  <c r="AF103" i="1"/>
  <c r="AA104" i="1"/>
  <c r="AB104" i="1"/>
  <c r="AC104" i="1"/>
  <c r="AD104" i="1"/>
  <c r="AE104" i="1"/>
  <c r="AF104" i="1"/>
  <c r="AA105" i="1"/>
  <c r="AB105" i="1"/>
  <c r="AC105" i="1"/>
  <c r="AD105" i="1"/>
  <c r="AE105" i="1"/>
  <c r="AF105" i="1"/>
  <c r="AA106" i="1"/>
  <c r="AB106" i="1"/>
  <c r="AC106" i="1"/>
  <c r="AD106" i="1"/>
  <c r="AE106" i="1"/>
  <c r="AF106" i="1"/>
  <c r="AA107" i="1"/>
  <c r="AB107" i="1"/>
  <c r="AC107" i="1"/>
  <c r="AD107" i="1"/>
  <c r="AE107" i="1"/>
  <c r="AF107" i="1"/>
  <c r="AA108" i="1"/>
  <c r="AB108" i="1"/>
  <c r="AC108" i="1"/>
  <c r="AD108" i="1"/>
  <c r="AE108" i="1"/>
  <c r="AF108" i="1"/>
  <c r="AA109" i="1"/>
  <c r="AB109" i="1"/>
  <c r="AC109" i="1"/>
  <c r="AD109" i="1"/>
  <c r="AE109" i="1"/>
  <c r="AF109" i="1"/>
  <c r="AA110" i="1"/>
  <c r="AB110" i="1"/>
  <c r="AC110" i="1"/>
  <c r="AD110" i="1"/>
  <c r="AE110" i="1"/>
  <c r="AF110" i="1"/>
  <c r="AA111" i="1"/>
  <c r="AB111" i="1"/>
  <c r="AC111" i="1"/>
  <c r="AD111" i="1"/>
  <c r="AE111" i="1"/>
  <c r="AF111" i="1"/>
  <c r="AA112" i="1"/>
  <c r="AB112" i="1"/>
  <c r="AC112" i="1"/>
  <c r="AD112" i="1"/>
  <c r="AE112" i="1"/>
  <c r="AF112" i="1"/>
  <c r="AA113" i="1"/>
  <c r="AB113" i="1"/>
  <c r="AC113" i="1"/>
  <c r="AD113" i="1"/>
  <c r="AE113" i="1"/>
  <c r="AF113" i="1"/>
  <c r="AA114" i="1"/>
  <c r="AB114" i="1"/>
  <c r="AC114" i="1"/>
  <c r="AD114" i="1"/>
  <c r="AE114" i="1"/>
  <c r="AF114" i="1"/>
  <c r="AA115" i="1"/>
  <c r="AB115" i="1"/>
  <c r="AC115" i="1"/>
  <c r="AD115" i="1"/>
  <c r="AE115" i="1"/>
  <c r="AF115" i="1"/>
  <c r="AA116" i="1"/>
  <c r="AB116" i="1"/>
  <c r="AC116" i="1"/>
  <c r="AD116" i="1"/>
  <c r="AE116" i="1"/>
  <c r="AF116" i="1"/>
  <c r="AA117" i="1"/>
  <c r="AB117" i="1"/>
  <c r="AC117" i="1"/>
  <c r="AD117" i="1"/>
  <c r="AE117" i="1"/>
  <c r="AF117" i="1"/>
  <c r="AA118" i="1"/>
  <c r="AB118" i="1"/>
  <c r="AC118" i="1"/>
  <c r="AD118" i="1"/>
  <c r="AE118" i="1"/>
  <c r="AF118" i="1"/>
  <c r="AA119" i="1"/>
  <c r="AB119" i="1"/>
  <c r="AC119" i="1"/>
  <c r="AD119" i="1"/>
  <c r="AE119" i="1"/>
  <c r="AF119" i="1"/>
  <c r="AA120" i="1"/>
  <c r="AB120" i="1"/>
  <c r="AC120" i="1"/>
  <c r="AD120" i="1"/>
  <c r="AE120" i="1"/>
  <c r="AF120" i="1"/>
  <c r="AA121" i="1"/>
  <c r="AB121" i="1"/>
  <c r="AC121" i="1"/>
  <c r="AD121" i="1"/>
  <c r="AE121" i="1"/>
  <c r="AF121" i="1"/>
  <c r="AA122" i="1"/>
  <c r="AB122" i="1"/>
  <c r="AC122" i="1"/>
  <c r="AD122" i="1"/>
  <c r="AM123" i="1" s="1"/>
  <c r="AE122" i="1"/>
  <c r="AN123" i="1" s="1"/>
  <c r="AF122" i="1"/>
  <c r="AA123" i="1"/>
  <c r="AB123" i="1"/>
  <c r="AC123" i="1"/>
  <c r="AD123" i="1"/>
  <c r="AM124" i="1" s="1"/>
  <c r="AE123" i="1"/>
  <c r="AN124" i="1" s="1"/>
  <c r="AF123" i="1"/>
  <c r="AA124" i="1"/>
  <c r="AJ125" i="1" s="1"/>
  <c r="AC3" i="1"/>
  <c r="AD3" i="1"/>
  <c r="AE3" i="1"/>
  <c r="AF3" i="1"/>
  <c r="N2" i="1"/>
  <c r="AG3" i="1" s="1"/>
  <c r="N3" i="1"/>
  <c r="N4" i="1"/>
  <c r="AG5" i="1" s="1"/>
  <c r="N5" i="1"/>
  <c r="AG6" i="1" s="1"/>
  <c r="N6" i="1"/>
  <c r="AG7" i="1" s="1"/>
  <c r="N7" i="1"/>
  <c r="AG8" i="1" s="1"/>
  <c r="N8" i="1"/>
  <c r="AG9" i="1" s="1"/>
  <c r="N10" i="1"/>
  <c r="AG11" i="1" s="1"/>
  <c r="N11" i="1"/>
  <c r="X11" i="1" s="1"/>
  <c r="N12" i="1"/>
  <c r="N13" i="1"/>
  <c r="AG14" i="1" s="1"/>
  <c r="N14" i="1"/>
  <c r="AG15" i="1" s="1"/>
  <c r="N15" i="1"/>
  <c r="AG16" i="1" s="1"/>
  <c r="N16" i="1"/>
  <c r="AG17" i="1" s="1"/>
  <c r="N17" i="1"/>
  <c r="AG18" i="1" s="1"/>
  <c r="N18" i="1"/>
  <c r="AG19" i="1" s="1"/>
  <c r="N19" i="1"/>
  <c r="X19" i="1" s="1"/>
  <c r="N20" i="1"/>
  <c r="N21" i="1"/>
  <c r="AG22" i="1" s="1"/>
  <c r="N22" i="1"/>
  <c r="AG23" i="1" s="1"/>
  <c r="N23" i="1"/>
  <c r="AG24" i="1" s="1"/>
  <c r="N24" i="1"/>
  <c r="AG25" i="1" s="1"/>
  <c r="N25" i="1"/>
  <c r="AG26" i="1" s="1"/>
  <c r="N26" i="1"/>
  <c r="AG27" i="1" s="1"/>
  <c r="N27" i="1"/>
  <c r="X27" i="1" s="1"/>
  <c r="N28" i="1"/>
  <c r="N29" i="1"/>
  <c r="AG30" i="1" s="1"/>
  <c r="N30" i="1"/>
  <c r="AG31" i="1" s="1"/>
  <c r="N31" i="1"/>
  <c r="AG32" i="1" s="1"/>
  <c r="N32" i="1"/>
  <c r="AG33" i="1" s="1"/>
  <c r="N33" i="1"/>
  <c r="AG34" i="1" s="1"/>
  <c r="N34" i="1"/>
  <c r="AG35" i="1" s="1"/>
  <c r="N35" i="1"/>
  <c r="X35" i="1" s="1"/>
  <c r="N36" i="1"/>
  <c r="N37" i="1"/>
  <c r="AG38" i="1" s="1"/>
  <c r="N38" i="1"/>
  <c r="AG39" i="1" s="1"/>
  <c r="N39" i="1"/>
  <c r="AG40" i="1" s="1"/>
  <c r="N40" i="1"/>
  <c r="AG41" i="1" s="1"/>
  <c r="N41" i="1"/>
  <c r="AG42" i="1" s="1"/>
  <c r="N42" i="1"/>
  <c r="AG43" i="1" s="1"/>
  <c r="AP44" i="1" s="1"/>
  <c r="N43" i="1"/>
  <c r="X43" i="1" s="1"/>
  <c r="N44" i="1"/>
  <c r="N45" i="1"/>
  <c r="AG46" i="1" s="1"/>
  <c r="N46" i="1"/>
  <c r="AG47" i="1" s="1"/>
  <c r="N47" i="1"/>
  <c r="AG48" i="1" s="1"/>
  <c r="N48" i="1"/>
  <c r="AG49" i="1" s="1"/>
  <c r="N49" i="1"/>
  <c r="AG50" i="1" s="1"/>
  <c r="N50" i="1"/>
  <c r="AG51" i="1" s="1"/>
  <c r="N51" i="1"/>
  <c r="X51" i="1" s="1"/>
  <c r="N52" i="1"/>
  <c r="N53" i="1"/>
  <c r="AG54" i="1" s="1"/>
  <c r="N54" i="1"/>
  <c r="AG55" i="1" s="1"/>
  <c r="N55" i="1"/>
  <c r="AG56" i="1" s="1"/>
  <c r="N56" i="1"/>
  <c r="AG57" i="1" s="1"/>
  <c r="N57" i="1"/>
  <c r="AG58" i="1" s="1"/>
  <c r="N58" i="1"/>
  <c r="AG59" i="1" s="1"/>
  <c r="N59" i="1"/>
  <c r="X59" i="1" s="1"/>
  <c r="N60" i="1"/>
  <c r="N61" i="1"/>
  <c r="AG62" i="1" s="1"/>
  <c r="N62" i="1"/>
  <c r="AG63" i="1" s="1"/>
  <c r="N63" i="1"/>
  <c r="AG64" i="1" s="1"/>
  <c r="N64" i="1"/>
  <c r="N65" i="1"/>
  <c r="AG66" i="1" s="1"/>
  <c r="N66" i="1"/>
  <c r="N67" i="1"/>
  <c r="X67" i="1" s="1"/>
  <c r="N68" i="1"/>
  <c r="N69" i="1"/>
  <c r="AG70" i="1" s="1"/>
  <c r="N70" i="1"/>
  <c r="AG71" i="1" s="1"/>
  <c r="N71" i="1"/>
  <c r="AG72" i="1" s="1"/>
  <c r="N72" i="1"/>
  <c r="AG73" i="1" s="1"/>
  <c r="N73" i="1"/>
  <c r="AG74" i="1" s="1"/>
  <c r="N74" i="1"/>
  <c r="AG75" i="1" s="1"/>
  <c r="N75" i="1"/>
  <c r="X75" i="1" s="1"/>
  <c r="N76" i="1"/>
  <c r="N77" i="1"/>
  <c r="AG78" i="1" s="1"/>
  <c r="N78" i="1"/>
  <c r="AG79" i="1" s="1"/>
  <c r="N79" i="1"/>
  <c r="AG80" i="1" s="1"/>
  <c r="N80" i="1"/>
  <c r="AG81" i="1" s="1"/>
  <c r="N81" i="1"/>
  <c r="AG82" i="1" s="1"/>
  <c r="N82" i="1"/>
  <c r="AG83" i="1" s="1"/>
  <c r="N83" i="1"/>
  <c r="AG84" i="1" s="1"/>
  <c r="N84" i="1"/>
  <c r="N85" i="1"/>
  <c r="AG86" i="1" s="1"/>
  <c r="N86" i="1"/>
  <c r="AG87" i="1" s="1"/>
  <c r="N87" i="1"/>
  <c r="AG88" i="1" s="1"/>
  <c r="N88" i="1"/>
  <c r="AG89" i="1" s="1"/>
  <c r="N89" i="1"/>
  <c r="AG90" i="1" s="1"/>
  <c r="N90" i="1"/>
  <c r="AG91" i="1" s="1"/>
  <c r="N91" i="1"/>
  <c r="N92" i="1"/>
  <c r="N93" i="1"/>
  <c r="AG94" i="1" s="1"/>
  <c r="N94" i="1"/>
  <c r="AG95" i="1" s="1"/>
  <c r="N95" i="1"/>
  <c r="AG96" i="1" s="1"/>
  <c r="N96" i="1"/>
  <c r="AG97" i="1" s="1"/>
  <c r="N97" i="1"/>
  <c r="AG98" i="1" s="1"/>
  <c r="N98" i="1"/>
  <c r="AG99" i="1" s="1"/>
  <c r="N99" i="1"/>
  <c r="AG100" i="1" s="1"/>
  <c r="N100" i="1"/>
  <c r="N101" i="1"/>
  <c r="AG102" i="1" s="1"/>
  <c r="N102" i="1"/>
  <c r="AG103" i="1" s="1"/>
  <c r="N103" i="1"/>
  <c r="AG104" i="1" s="1"/>
  <c r="N104" i="1"/>
  <c r="AG105" i="1" s="1"/>
  <c r="N105" i="1"/>
  <c r="AG106" i="1" s="1"/>
  <c r="N106" i="1"/>
  <c r="AG107" i="1" s="1"/>
  <c r="N107" i="1"/>
  <c r="AG108" i="1" s="1"/>
  <c r="N108" i="1"/>
  <c r="N109" i="1"/>
  <c r="AG110" i="1" s="1"/>
  <c r="N110" i="1"/>
  <c r="AG111" i="1" s="1"/>
  <c r="N111" i="1"/>
  <c r="AG112" i="1" s="1"/>
  <c r="N112" i="1"/>
  <c r="AG113" i="1" s="1"/>
  <c r="N113" i="1"/>
  <c r="AG114" i="1" s="1"/>
  <c r="N114" i="1"/>
  <c r="AG115" i="1" s="1"/>
  <c r="N115" i="1"/>
  <c r="N116" i="1"/>
  <c r="N117" i="1"/>
  <c r="AG118" i="1" s="1"/>
  <c r="N118" i="1"/>
  <c r="AG119" i="1" s="1"/>
  <c r="N119" i="1"/>
  <c r="AG120" i="1" s="1"/>
  <c r="N120" i="1"/>
  <c r="AG121" i="1" s="1"/>
  <c r="N121" i="1"/>
  <c r="AG122" i="1" s="1"/>
  <c r="N122" i="1"/>
  <c r="AG123" i="1" s="1"/>
  <c r="N123" i="1"/>
  <c r="AG124" i="1" s="1"/>
  <c r="R4" i="1"/>
  <c r="AJ5" i="1" s="1"/>
  <c r="S4" i="1"/>
  <c r="T4" i="1"/>
  <c r="U4" i="1"/>
  <c r="V4" i="1"/>
  <c r="W4" i="1"/>
  <c r="R5" i="1"/>
  <c r="S5" i="1"/>
  <c r="T5" i="1"/>
  <c r="U5" i="1"/>
  <c r="V5" i="1"/>
  <c r="W5" i="1"/>
  <c r="R6" i="1"/>
  <c r="S6" i="1"/>
  <c r="T6" i="1"/>
  <c r="U6" i="1"/>
  <c r="V6" i="1"/>
  <c r="W6" i="1"/>
  <c r="R7" i="1"/>
  <c r="S7" i="1"/>
  <c r="T7" i="1"/>
  <c r="U7" i="1"/>
  <c r="V7" i="1"/>
  <c r="W7" i="1"/>
  <c r="R8" i="1"/>
  <c r="AJ9" i="1" s="1"/>
  <c r="S8" i="1"/>
  <c r="T8" i="1"/>
  <c r="U8" i="1"/>
  <c r="V8" i="1"/>
  <c r="W8" i="1"/>
  <c r="R9" i="1"/>
  <c r="S9" i="1"/>
  <c r="T9" i="1"/>
  <c r="U9" i="1"/>
  <c r="V9" i="1"/>
  <c r="W9" i="1"/>
  <c r="R10" i="1"/>
  <c r="S10" i="1"/>
  <c r="T10" i="1"/>
  <c r="U10" i="1"/>
  <c r="V10" i="1"/>
  <c r="W10" i="1"/>
  <c r="R11" i="1"/>
  <c r="S11" i="1"/>
  <c r="T11" i="1"/>
  <c r="U11" i="1"/>
  <c r="V11" i="1"/>
  <c r="W11" i="1"/>
  <c r="R12" i="1"/>
  <c r="S12" i="1"/>
  <c r="T12" i="1"/>
  <c r="U12" i="1"/>
  <c r="V12" i="1"/>
  <c r="W12" i="1"/>
  <c r="R13" i="1"/>
  <c r="S13" i="1"/>
  <c r="T13" i="1"/>
  <c r="U13" i="1"/>
  <c r="V13" i="1"/>
  <c r="W13" i="1"/>
  <c r="R14" i="1"/>
  <c r="S14" i="1"/>
  <c r="T14" i="1"/>
  <c r="U14" i="1"/>
  <c r="V14" i="1"/>
  <c r="W14" i="1"/>
  <c r="R15" i="1"/>
  <c r="S15" i="1"/>
  <c r="T15" i="1"/>
  <c r="U15" i="1"/>
  <c r="V15" i="1"/>
  <c r="W15" i="1"/>
  <c r="R16" i="1"/>
  <c r="S16" i="1"/>
  <c r="T16" i="1"/>
  <c r="U16" i="1"/>
  <c r="V16" i="1"/>
  <c r="W16" i="1"/>
  <c r="R17" i="1"/>
  <c r="S17" i="1"/>
  <c r="T17" i="1"/>
  <c r="U17" i="1"/>
  <c r="V17" i="1"/>
  <c r="W17" i="1"/>
  <c r="R18" i="1"/>
  <c r="S18" i="1"/>
  <c r="T18" i="1"/>
  <c r="U18" i="1"/>
  <c r="V18" i="1"/>
  <c r="W18" i="1"/>
  <c r="R19" i="1"/>
  <c r="S19" i="1"/>
  <c r="T19" i="1"/>
  <c r="U19" i="1"/>
  <c r="V19" i="1"/>
  <c r="W19" i="1"/>
  <c r="R20" i="1"/>
  <c r="S20" i="1"/>
  <c r="T20" i="1"/>
  <c r="U20" i="1"/>
  <c r="V20" i="1"/>
  <c r="AN21" i="1" s="1"/>
  <c r="W20" i="1"/>
  <c r="R21" i="1"/>
  <c r="S21" i="1"/>
  <c r="T21" i="1"/>
  <c r="U21" i="1"/>
  <c r="V21" i="1"/>
  <c r="W21" i="1"/>
  <c r="AO22" i="1" s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R25" i="1"/>
  <c r="S25" i="1"/>
  <c r="T25" i="1"/>
  <c r="U25" i="1"/>
  <c r="V25" i="1"/>
  <c r="W25" i="1"/>
  <c r="R26" i="1"/>
  <c r="AJ27" i="1" s="1"/>
  <c r="S26" i="1"/>
  <c r="T26" i="1"/>
  <c r="U26" i="1"/>
  <c r="V26" i="1"/>
  <c r="W26" i="1"/>
  <c r="R27" i="1"/>
  <c r="S27" i="1"/>
  <c r="T27" i="1"/>
  <c r="U27" i="1"/>
  <c r="V27" i="1"/>
  <c r="W27" i="1"/>
  <c r="R28" i="1"/>
  <c r="S28" i="1"/>
  <c r="T28" i="1"/>
  <c r="U28" i="1"/>
  <c r="V28" i="1"/>
  <c r="AN29" i="1" s="1"/>
  <c r="W28" i="1"/>
  <c r="R29" i="1"/>
  <c r="S29" i="1"/>
  <c r="T29" i="1"/>
  <c r="U29" i="1"/>
  <c r="V29" i="1"/>
  <c r="W29" i="1"/>
  <c r="R30" i="1"/>
  <c r="S30" i="1"/>
  <c r="T30" i="1"/>
  <c r="U30" i="1"/>
  <c r="V30" i="1"/>
  <c r="W30" i="1"/>
  <c r="R31" i="1"/>
  <c r="S31" i="1"/>
  <c r="T31" i="1"/>
  <c r="U31" i="1"/>
  <c r="V31" i="1"/>
  <c r="W31" i="1"/>
  <c r="R32" i="1"/>
  <c r="S32" i="1"/>
  <c r="T32" i="1"/>
  <c r="U32" i="1"/>
  <c r="V32" i="1"/>
  <c r="W32" i="1"/>
  <c r="R33" i="1"/>
  <c r="S33" i="1"/>
  <c r="T33" i="1"/>
  <c r="U33" i="1"/>
  <c r="V33" i="1"/>
  <c r="W33" i="1"/>
  <c r="R34" i="1"/>
  <c r="AJ35" i="1" s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AN37" i="1" s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R39" i="1"/>
  <c r="S39" i="1"/>
  <c r="T39" i="1"/>
  <c r="U39" i="1"/>
  <c r="V39" i="1"/>
  <c r="W39" i="1"/>
  <c r="R40" i="1"/>
  <c r="S40" i="1"/>
  <c r="T40" i="1"/>
  <c r="U40" i="1"/>
  <c r="V40" i="1"/>
  <c r="W40" i="1"/>
  <c r="R41" i="1"/>
  <c r="S41" i="1"/>
  <c r="T41" i="1"/>
  <c r="U41" i="1"/>
  <c r="V41" i="1"/>
  <c r="W41" i="1"/>
  <c r="R42" i="1"/>
  <c r="S42" i="1"/>
  <c r="T42" i="1"/>
  <c r="U42" i="1"/>
  <c r="V42" i="1"/>
  <c r="W42" i="1"/>
  <c r="R43" i="1"/>
  <c r="S43" i="1"/>
  <c r="T43" i="1"/>
  <c r="U43" i="1"/>
  <c r="V43" i="1"/>
  <c r="W43" i="1"/>
  <c r="R44" i="1"/>
  <c r="S44" i="1"/>
  <c r="T44" i="1"/>
  <c r="U44" i="1"/>
  <c r="V44" i="1"/>
  <c r="W44" i="1"/>
  <c r="R45" i="1"/>
  <c r="S45" i="1"/>
  <c r="T45" i="1"/>
  <c r="U45" i="1"/>
  <c r="V45" i="1"/>
  <c r="W45" i="1"/>
  <c r="R46" i="1"/>
  <c r="S46" i="1"/>
  <c r="T46" i="1"/>
  <c r="U46" i="1"/>
  <c r="V46" i="1"/>
  <c r="W46" i="1"/>
  <c r="R47" i="1"/>
  <c r="S47" i="1"/>
  <c r="T47" i="1"/>
  <c r="U47" i="1"/>
  <c r="V47" i="1"/>
  <c r="W47" i="1"/>
  <c r="R48" i="1"/>
  <c r="S48" i="1"/>
  <c r="T48" i="1"/>
  <c r="U48" i="1"/>
  <c r="V48" i="1"/>
  <c r="W48" i="1"/>
  <c r="R49" i="1"/>
  <c r="S49" i="1"/>
  <c r="T49" i="1"/>
  <c r="U49" i="1"/>
  <c r="V49" i="1"/>
  <c r="W49" i="1"/>
  <c r="R50" i="1"/>
  <c r="S50" i="1"/>
  <c r="T50" i="1"/>
  <c r="U50" i="1"/>
  <c r="V50" i="1"/>
  <c r="W50" i="1"/>
  <c r="R51" i="1"/>
  <c r="S51" i="1"/>
  <c r="T51" i="1"/>
  <c r="U51" i="1"/>
  <c r="V51" i="1"/>
  <c r="W51" i="1"/>
  <c r="R52" i="1"/>
  <c r="S52" i="1"/>
  <c r="T52" i="1"/>
  <c r="U52" i="1"/>
  <c r="V52" i="1"/>
  <c r="W52" i="1"/>
  <c r="R53" i="1"/>
  <c r="S53" i="1"/>
  <c r="T53" i="1"/>
  <c r="U53" i="1"/>
  <c r="V53" i="1"/>
  <c r="W53" i="1"/>
  <c r="R54" i="1"/>
  <c r="S54" i="1"/>
  <c r="T54" i="1"/>
  <c r="U54" i="1"/>
  <c r="V54" i="1"/>
  <c r="W54" i="1"/>
  <c r="R55" i="1"/>
  <c r="AJ56" i="1" s="1"/>
  <c r="S55" i="1"/>
  <c r="T55" i="1"/>
  <c r="U55" i="1"/>
  <c r="V55" i="1"/>
  <c r="W55" i="1"/>
  <c r="R56" i="1"/>
  <c r="S56" i="1"/>
  <c r="T56" i="1"/>
  <c r="U56" i="1"/>
  <c r="V56" i="1"/>
  <c r="W56" i="1"/>
  <c r="R57" i="1"/>
  <c r="S57" i="1"/>
  <c r="T57" i="1"/>
  <c r="U57" i="1"/>
  <c r="V57" i="1"/>
  <c r="W57" i="1"/>
  <c r="R58" i="1"/>
  <c r="S58" i="1"/>
  <c r="T58" i="1"/>
  <c r="U58" i="1"/>
  <c r="V58" i="1"/>
  <c r="W58" i="1"/>
  <c r="R59" i="1"/>
  <c r="S59" i="1"/>
  <c r="T59" i="1"/>
  <c r="U59" i="1"/>
  <c r="V59" i="1"/>
  <c r="W59" i="1"/>
  <c r="R60" i="1"/>
  <c r="S60" i="1"/>
  <c r="T60" i="1"/>
  <c r="AL61" i="1" s="1"/>
  <c r="U60" i="1"/>
  <c r="V60" i="1"/>
  <c r="W60" i="1"/>
  <c r="R61" i="1"/>
  <c r="S61" i="1"/>
  <c r="T61" i="1"/>
  <c r="U61" i="1"/>
  <c r="V61" i="1"/>
  <c r="W61" i="1"/>
  <c r="AO62" i="1" s="1"/>
  <c r="R62" i="1"/>
  <c r="S62" i="1"/>
  <c r="T62" i="1"/>
  <c r="U62" i="1"/>
  <c r="V62" i="1"/>
  <c r="W62" i="1"/>
  <c r="R63" i="1"/>
  <c r="S63" i="1"/>
  <c r="T63" i="1"/>
  <c r="U63" i="1"/>
  <c r="V63" i="1"/>
  <c r="W63" i="1"/>
  <c r="R64" i="1"/>
  <c r="S64" i="1"/>
  <c r="T64" i="1"/>
  <c r="U64" i="1"/>
  <c r="V64" i="1"/>
  <c r="W64" i="1"/>
  <c r="R65" i="1"/>
  <c r="S65" i="1"/>
  <c r="T65" i="1"/>
  <c r="U65" i="1"/>
  <c r="V65" i="1"/>
  <c r="W65" i="1"/>
  <c r="R66" i="1"/>
  <c r="S66" i="1"/>
  <c r="T66" i="1"/>
  <c r="U66" i="1"/>
  <c r="V66" i="1"/>
  <c r="W66" i="1"/>
  <c r="R67" i="1"/>
  <c r="S67" i="1"/>
  <c r="T67" i="1"/>
  <c r="U67" i="1"/>
  <c r="AM68" i="1" s="1"/>
  <c r="V67" i="1"/>
  <c r="W67" i="1"/>
  <c r="R68" i="1"/>
  <c r="S68" i="1"/>
  <c r="T68" i="1"/>
  <c r="U68" i="1"/>
  <c r="V68" i="1"/>
  <c r="W68" i="1"/>
  <c r="R69" i="1"/>
  <c r="S69" i="1"/>
  <c r="T69" i="1"/>
  <c r="U69" i="1"/>
  <c r="V69" i="1"/>
  <c r="W69" i="1"/>
  <c r="R70" i="1"/>
  <c r="S70" i="1"/>
  <c r="T70" i="1"/>
  <c r="U70" i="1"/>
  <c r="V70" i="1"/>
  <c r="W70" i="1"/>
  <c r="R71" i="1"/>
  <c r="S71" i="1"/>
  <c r="T71" i="1"/>
  <c r="U71" i="1"/>
  <c r="V71" i="1"/>
  <c r="W71" i="1"/>
  <c r="R72" i="1"/>
  <c r="S72" i="1"/>
  <c r="T72" i="1"/>
  <c r="U72" i="1"/>
  <c r="V72" i="1"/>
  <c r="W72" i="1"/>
  <c r="R73" i="1"/>
  <c r="S73" i="1"/>
  <c r="T73" i="1"/>
  <c r="U73" i="1"/>
  <c r="V73" i="1"/>
  <c r="W73" i="1"/>
  <c r="R74" i="1"/>
  <c r="S74" i="1"/>
  <c r="T74" i="1"/>
  <c r="AL75" i="1" s="1"/>
  <c r="U74" i="1"/>
  <c r="V74" i="1"/>
  <c r="W74" i="1"/>
  <c r="R75" i="1"/>
  <c r="S75" i="1"/>
  <c r="T75" i="1"/>
  <c r="U75" i="1"/>
  <c r="V75" i="1"/>
  <c r="W75" i="1"/>
  <c r="R76" i="1"/>
  <c r="S76" i="1"/>
  <c r="T76" i="1"/>
  <c r="U76" i="1"/>
  <c r="V76" i="1"/>
  <c r="W76" i="1"/>
  <c r="R77" i="1"/>
  <c r="S77" i="1"/>
  <c r="T77" i="1"/>
  <c r="U77" i="1"/>
  <c r="V77" i="1"/>
  <c r="W77" i="1"/>
  <c r="R78" i="1"/>
  <c r="S78" i="1"/>
  <c r="T78" i="1"/>
  <c r="U78" i="1"/>
  <c r="V78" i="1"/>
  <c r="W78" i="1"/>
  <c r="R79" i="1"/>
  <c r="S79" i="1"/>
  <c r="T79" i="1"/>
  <c r="U79" i="1"/>
  <c r="V79" i="1"/>
  <c r="AN80" i="1" s="1"/>
  <c r="W79" i="1"/>
  <c r="R80" i="1"/>
  <c r="S80" i="1"/>
  <c r="T80" i="1"/>
  <c r="U80" i="1"/>
  <c r="V80" i="1"/>
  <c r="W80" i="1"/>
  <c r="R81" i="1"/>
  <c r="S81" i="1"/>
  <c r="T81" i="1"/>
  <c r="U81" i="1"/>
  <c r="V81" i="1"/>
  <c r="W81" i="1"/>
  <c r="R82" i="1"/>
  <c r="S82" i="1"/>
  <c r="T82" i="1"/>
  <c r="U82" i="1"/>
  <c r="V82" i="1"/>
  <c r="W82" i="1"/>
  <c r="R83" i="1"/>
  <c r="S83" i="1"/>
  <c r="T83" i="1"/>
  <c r="U83" i="1"/>
  <c r="V83" i="1"/>
  <c r="W83" i="1"/>
  <c r="R84" i="1"/>
  <c r="S84" i="1"/>
  <c r="T84" i="1"/>
  <c r="U84" i="1"/>
  <c r="V84" i="1"/>
  <c r="W84" i="1"/>
  <c r="R85" i="1"/>
  <c r="S85" i="1"/>
  <c r="T85" i="1"/>
  <c r="U85" i="1"/>
  <c r="V85" i="1"/>
  <c r="W85" i="1"/>
  <c r="AO86" i="1" s="1"/>
  <c r="R86" i="1"/>
  <c r="S86" i="1"/>
  <c r="T86" i="1"/>
  <c r="U86" i="1"/>
  <c r="V86" i="1"/>
  <c r="W86" i="1"/>
  <c r="R87" i="1"/>
  <c r="S87" i="1"/>
  <c r="T87" i="1"/>
  <c r="U87" i="1"/>
  <c r="V87" i="1"/>
  <c r="W87" i="1"/>
  <c r="R88" i="1"/>
  <c r="S88" i="1"/>
  <c r="T88" i="1"/>
  <c r="U88" i="1"/>
  <c r="V88" i="1"/>
  <c r="W88" i="1"/>
  <c r="R89" i="1"/>
  <c r="S89" i="1"/>
  <c r="T89" i="1"/>
  <c r="U89" i="1"/>
  <c r="V89" i="1"/>
  <c r="W89" i="1"/>
  <c r="R90" i="1"/>
  <c r="S90" i="1"/>
  <c r="T90" i="1"/>
  <c r="U90" i="1"/>
  <c r="V90" i="1"/>
  <c r="W90" i="1"/>
  <c r="R91" i="1"/>
  <c r="S91" i="1"/>
  <c r="T91" i="1"/>
  <c r="U91" i="1"/>
  <c r="V91" i="1"/>
  <c r="W91" i="1"/>
  <c r="R92" i="1"/>
  <c r="S92" i="1"/>
  <c r="T92" i="1"/>
  <c r="U92" i="1"/>
  <c r="V92" i="1"/>
  <c r="W92" i="1"/>
  <c r="R93" i="1"/>
  <c r="S93" i="1"/>
  <c r="T93" i="1"/>
  <c r="U93" i="1"/>
  <c r="V93" i="1"/>
  <c r="W93" i="1"/>
  <c r="R94" i="1"/>
  <c r="S94" i="1"/>
  <c r="T94" i="1"/>
  <c r="U94" i="1"/>
  <c r="V94" i="1"/>
  <c r="W94" i="1"/>
  <c r="R95" i="1"/>
  <c r="S95" i="1"/>
  <c r="T95" i="1"/>
  <c r="U95" i="1"/>
  <c r="V95" i="1"/>
  <c r="W95" i="1"/>
  <c r="R96" i="1"/>
  <c r="S96" i="1"/>
  <c r="T96" i="1"/>
  <c r="U96" i="1"/>
  <c r="V96" i="1"/>
  <c r="W96" i="1"/>
  <c r="R97" i="1"/>
  <c r="S97" i="1"/>
  <c r="T97" i="1"/>
  <c r="U97" i="1"/>
  <c r="V97" i="1"/>
  <c r="W97" i="1"/>
  <c r="R98" i="1"/>
  <c r="S98" i="1"/>
  <c r="T98" i="1"/>
  <c r="U98" i="1"/>
  <c r="V98" i="1"/>
  <c r="W98" i="1"/>
  <c r="R99" i="1"/>
  <c r="S99" i="1"/>
  <c r="T99" i="1"/>
  <c r="U99" i="1"/>
  <c r="AM100" i="1" s="1"/>
  <c r="V99" i="1"/>
  <c r="W99" i="1"/>
  <c r="R100" i="1"/>
  <c r="S100" i="1"/>
  <c r="T100" i="1"/>
  <c r="U100" i="1"/>
  <c r="V100" i="1"/>
  <c r="W100" i="1"/>
  <c r="R101" i="1"/>
  <c r="S101" i="1"/>
  <c r="T101" i="1"/>
  <c r="U101" i="1"/>
  <c r="V101" i="1"/>
  <c r="W101" i="1"/>
  <c r="R102" i="1"/>
  <c r="S102" i="1"/>
  <c r="T102" i="1"/>
  <c r="U102" i="1"/>
  <c r="V102" i="1"/>
  <c r="W102" i="1"/>
  <c r="R103" i="1"/>
  <c r="AJ104" i="1" s="1"/>
  <c r="S103" i="1"/>
  <c r="T103" i="1"/>
  <c r="U103" i="1"/>
  <c r="V103" i="1"/>
  <c r="W103" i="1"/>
  <c r="R104" i="1"/>
  <c r="S104" i="1"/>
  <c r="T104" i="1"/>
  <c r="U104" i="1"/>
  <c r="V104" i="1"/>
  <c r="W104" i="1"/>
  <c r="R105" i="1"/>
  <c r="AJ106" i="1" s="1"/>
  <c r="S105" i="1"/>
  <c r="T105" i="1"/>
  <c r="U105" i="1"/>
  <c r="V105" i="1"/>
  <c r="W105" i="1"/>
  <c r="R106" i="1"/>
  <c r="S106" i="1"/>
  <c r="T106" i="1"/>
  <c r="U106" i="1"/>
  <c r="V106" i="1"/>
  <c r="W106" i="1"/>
  <c r="R107" i="1"/>
  <c r="AJ108" i="1" s="1"/>
  <c r="S107" i="1"/>
  <c r="T107" i="1"/>
  <c r="U107" i="1"/>
  <c r="V107" i="1"/>
  <c r="AN108" i="1" s="1"/>
  <c r="W107" i="1"/>
  <c r="R108" i="1"/>
  <c r="S108" i="1"/>
  <c r="T108" i="1"/>
  <c r="U108" i="1"/>
  <c r="V108" i="1"/>
  <c r="W108" i="1"/>
  <c r="R109" i="1"/>
  <c r="S109" i="1"/>
  <c r="T109" i="1"/>
  <c r="U109" i="1"/>
  <c r="V109" i="1"/>
  <c r="W109" i="1"/>
  <c r="R110" i="1"/>
  <c r="S110" i="1"/>
  <c r="T110" i="1"/>
  <c r="U110" i="1"/>
  <c r="V110" i="1"/>
  <c r="W110" i="1"/>
  <c r="R111" i="1"/>
  <c r="AJ112" i="1" s="1"/>
  <c r="S111" i="1"/>
  <c r="T111" i="1"/>
  <c r="U111" i="1"/>
  <c r="V111" i="1"/>
  <c r="W111" i="1"/>
  <c r="R112" i="1"/>
  <c r="S112" i="1"/>
  <c r="T112" i="1"/>
  <c r="U112" i="1"/>
  <c r="V112" i="1"/>
  <c r="W112" i="1"/>
  <c r="R113" i="1"/>
  <c r="AJ114" i="1" s="1"/>
  <c r="S113" i="1"/>
  <c r="T113" i="1"/>
  <c r="U113" i="1"/>
  <c r="V113" i="1"/>
  <c r="W113" i="1"/>
  <c r="R114" i="1"/>
  <c r="S114" i="1"/>
  <c r="T114" i="1"/>
  <c r="U114" i="1"/>
  <c r="V114" i="1"/>
  <c r="W114" i="1"/>
  <c r="R115" i="1"/>
  <c r="AJ116" i="1" s="1"/>
  <c r="S115" i="1"/>
  <c r="T115" i="1"/>
  <c r="U115" i="1"/>
  <c r="V115" i="1"/>
  <c r="W115" i="1"/>
  <c r="R116" i="1"/>
  <c r="S116" i="1"/>
  <c r="T116" i="1"/>
  <c r="U116" i="1"/>
  <c r="V116" i="1"/>
  <c r="W116" i="1"/>
  <c r="R117" i="1"/>
  <c r="S117" i="1"/>
  <c r="T117" i="1"/>
  <c r="U117" i="1"/>
  <c r="V117" i="1"/>
  <c r="W117" i="1"/>
  <c r="R118" i="1"/>
  <c r="S118" i="1"/>
  <c r="T118" i="1"/>
  <c r="U118" i="1"/>
  <c r="V118" i="1"/>
  <c r="W118" i="1"/>
  <c r="R119" i="1"/>
  <c r="S119" i="1"/>
  <c r="T119" i="1"/>
  <c r="U119" i="1"/>
  <c r="V119" i="1"/>
  <c r="W119" i="1"/>
  <c r="R120" i="1"/>
  <c r="S120" i="1"/>
  <c r="T120" i="1"/>
  <c r="U120" i="1"/>
  <c r="V120" i="1"/>
  <c r="W120" i="1"/>
  <c r="R121" i="1"/>
  <c r="AJ122" i="1" s="1"/>
  <c r="S121" i="1"/>
  <c r="T121" i="1"/>
  <c r="U121" i="1"/>
  <c r="V121" i="1"/>
  <c r="W121" i="1"/>
  <c r="R122" i="1"/>
  <c r="S122" i="1"/>
  <c r="T122" i="1"/>
  <c r="W122" i="1"/>
  <c r="S123" i="1"/>
  <c r="AK124" i="1" s="1"/>
  <c r="AL124" i="1"/>
  <c r="W123" i="1"/>
  <c r="S3" i="1"/>
  <c r="AK4" i="1" s="1"/>
  <c r="T3" i="1"/>
  <c r="U3" i="1"/>
  <c r="V3" i="1"/>
  <c r="W3" i="1"/>
  <c r="AL117" i="1" l="1"/>
  <c r="AJ124" i="1"/>
  <c r="X116" i="1"/>
  <c r="X108" i="1"/>
  <c r="X100" i="1"/>
  <c r="AP101" i="1" s="1"/>
  <c r="X92" i="1"/>
  <c r="X84" i="1"/>
  <c r="AP85" i="1" s="1"/>
  <c r="X76" i="1"/>
  <c r="X68" i="1"/>
  <c r="X60" i="1"/>
  <c r="X52" i="1"/>
  <c r="X44" i="1"/>
  <c r="X36" i="1"/>
  <c r="X28" i="1"/>
  <c r="X20" i="1"/>
  <c r="AP21" i="1" s="1"/>
  <c r="X12" i="1"/>
  <c r="AP13" i="1" s="1"/>
  <c r="X3" i="1"/>
  <c r="AJ88" i="1"/>
  <c r="AP76" i="1"/>
  <c r="AP60" i="1"/>
  <c r="AP52" i="1"/>
  <c r="AP36" i="1"/>
  <c r="AP28" i="1"/>
  <c r="AP20" i="1"/>
  <c r="AP12" i="1"/>
  <c r="AM4" i="1"/>
  <c r="AO123" i="1"/>
  <c r="AM122" i="1"/>
  <c r="AK121" i="1"/>
  <c r="AM104" i="1"/>
  <c r="AM96" i="1"/>
  <c r="AM92" i="1"/>
  <c r="AK91" i="1"/>
  <c r="AM88" i="1"/>
  <c r="AN84" i="1"/>
  <c r="AL83" i="1"/>
  <c r="AJ82" i="1"/>
  <c r="AL79" i="1"/>
  <c r="AS79" i="1" s="1"/>
  <c r="AN76" i="1"/>
  <c r="AJ74" i="1"/>
  <c r="AN72" i="1"/>
  <c r="AL71" i="1"/>
  <c r="AN63" i="1"/>
  <c r="AL62" i="1"/>
  <c r="AO39" i="1"/>
  <c r="AO19" i="1"/>
  <c r="AM18" i="1"/>
  <c r="AG68" i="1"/>
  <c r="AP69" i="1" s="1"/>
  <c r="AN48" i="1"/>
  <c r="AQ126" i="1"/>
  <c r="AC129" i="1"/>
  <c r="N128" i="1"/>
  <c r="X129" i="1" s="1"/>
  <c r="AB128" i="1"/>
  <c r="AK129" i="1" s="1"/>
  <c r="AT128" i="1"/>
  <c r="AT129" i="1"/>
  <c r="X127" i="1"/>
  <c r="AG128" i="1"/>
  <c r="AP129" i="1" s="1"/>
  <c r="AQ129" i="1" s="1"/>
  <c r="AS128" i="1"/>
  <c r="X126" i="1"/>
  <c r="AP127" i="1" s="1"/>
  <c r="AQ127" i="1" s="1"/>
  <c r="AG127" i="1"/>
  <c r="AG129" i="1"/>
  <c r="X128" i="1"/>
  <c r="AS129" i="1"/>
  <c r="X124" i="1"/>
  <c r="AP125" i="1" s="1"/>
  <c r="AQ125" i="1" s="1"/>
  <c r="AO111" i="1"/>
  <c r="AM110" i="1"/>
  <c r="AL109" i="1"/>
  <c r="AK108" i="1"/>
  <c r="AM105" i="1"/>
  <c r="AS105" i="1" s="1"/>
  <c r="AL104" i="1"/>
  <c r="AL96" i="1"/>
  <c r="AJ95" i="1"/>
  <c r="AN93" i="1"/>
  <c r="AM84" i="1"/>
  <c r="AM80" i="1"/>
  <c r="AM76" i="1"/>
  <c r="AM72" i="1"/>
  <c r="AS72" i="1" s="1"/>
  <c r="AK71" i="1"/>
  <c r="AS71" i="1" s="1"/>
  <c r="AN68" i="1"/>
  <c r="AL67" i="1"/>
  <c r="AJ66" i="1"/>
  <c r="AN43" i="1"/>
  <c r="AL42" i="1"/>
  <c r="AJ41" i="1"/>
  <c r="AL10" i="1"/>
  <c r="AN4" i="1"/>
  <c r="AN115" i="1"/>
  <c r="AL114" i="1"/>
  <c r="AK100" i="1"/>
  <c r="AM97" i="1"/>
  <c r="AK96" i="1"/>
  <c r="AO94" i="1"/>
  <c r="AM85" i="1"/>
  <c r="AL84" i="1"/>
  <c r="AL76" i="1"/>
  <c r="AJ75" i="1"/>
  <c r="AN73" i="1"/>
  <c r="AN64" i="1"/>
  <c r="AL63" i="1"/>
  <c r="AN60" i="1"/>
  <c r="AL59" i="1"/>
  <c r="AS59" i="1" s="1"/>
  <c r="AJ58" i="1"/>
  <c r="AN56" i="1"/>
  <c r="AL55" i="1"/>
  <c r="AN52" i="1"/>
  <c r="AL51" i="1"/>
  <c r="AJ50" i="1"/>
  <c r="AL47" i="1"/>
  <c r="AJ46" i="1"/>
  <c r="AK66" i="1"/>
  <c r="X64" i="1"/>
  <c r="AL123" i="1"/>
  <c r="AN120" i="1"/>
  <c r="AL119" i="1"/>
  <c r="AL101" i="1"/>
  <c r="AJ100" i="1"/>
  <c r="AN98" i="1"/>
  <c r="AL97" i="1"/>
  <c r="AJ96" i="1"/>
  <c r="AJ92" i="1"/>
  <c r="AN86" i="1"/>
  <c r="AL85" i="1"/>
  <c r="AM77" i="1"/>
  <c r="AS77" i="1" s="1"/>
  <c r="AM64" i="1"/>
  <c r="AM60" i="1"/>
  <c r="AM56" i="1"/>
  <c r="AM52" i="1"/>
  <c r="AK51" i="1"/>
  <c r="AM48" i="1"/>
  <c r="AN44" i="1"/>
  <c r="AJ42" i="1"/>
  <c r="AN40" i="1"/>
  <c r="AT40" i="1" s="1"/>
  <c r="AL39" i="1"/>
  <c r="AJ26" i="1"/>
  <c r="AK123" i="1"/>
  <c r="AM120" i="1"/>
  <c r="AN116" i="1"/>
  <c r="AL115" i="1"/>
  <c r="AN112" i="1"/>
  <c r="AL111" i="1"/>
  <c r="AJ110" i="1"/>
  <c r="AN107" i="1"/>
  <c r="AL106" i="1"/>
  <c r="AJ105" i="1"/>
  <c r="AO103" i="1"/>
  <c r="AM102" i="1"/>
  <c r="AK101" i="1"/>
  <c r="AS101" i="1" s="1"/>
  <c r="AO91" i="1"/>
  <c r="AM90" i="1"/>
  <c r="AK89" i="1"/>
  <c r="AJ84" i="1"/>
  <c r="AJ80" i="1"/>
  <c r="AN78" i="1"/>
  <c r="AL77" i="1"/>
  <c r="AJ76" i="1"/>
  <c r="AJ72" i="1"/>
  <c r="AN53" i="1"/>
  <c r="AM44" i="1"/>
  <c r="AM40" i="1"/>
  <c r="AG4" i="1"/>
  <c r="AJ4" i="1"/>
  <c r="AO68" i="1"/>
  <c r="AN117" i="1"/>
  <c r="AM116" i="1"/>
  <c r="AK115" i="1"/>
  <c r="AM112" i="1"/>
  <c r="AK111" i="1"/>
  <c r="AP109" i="1"/>
  <c r="AO108" i="1"/>
  <c r="AT108" i="1" s="1"/>
  <c r="AM107" i="1"/>
  <c r="AK106" i="1"/>
  <c r="AN103" i="1"/>
  <c r="AT103" i="1" s="1"/>
  <c r="AL102" i="1"/>
  <c r="AJ93" i="1"/>
  <c r="AJ85" i="1"/>
  <c r="AO83" i="1"/>
  <c r="AM82" i="1"/>
  <c r="AK81" i="1"/>
  <c r="AL69" i="1"/>
  <c r="AS69" i="1" s="1"/>
  <c r="AJ68" i="1"/>
  <c r="AK56" i="1"/>
  <c r="AO54" i="1"/>
  <c r="AL32" i="1"/>
  <c r="AJ31" i="1"/>
  <c r="AL12" i="1"/>
  <c r="AK120" i="1"/>
  <c r="AO118" i="1"/>
  <c r="AT118" i="1" s="1"/>
  <c r="AM117" i="1"/>
  <c r="AS117" i="1" s="1"/>
  <c r="AL116" i="1"/>
  <c r="AN113" i="1"/>
  <c r="AL107" i="1"/>
  <c r="AM95" i="1"/>
  <c r="AK94" i="1"/>
  <c r="AM87" i="1"/>
  <c r="AK86" i="1"/>
  <c r="AN83" i="1"/>
  <c r="AT83" i="1" s="1"/>
  <c r="AL82" i="1"/>
  <c r="AJ81" i="1"/>
  <c r="AJ64" i="1"/>
  <c r="AJ60" i="1"/>
  <c r="AN58" i="1"/>
  <c r="AL57" i="1"/>
  <c r="AL53" i="1"/>
  <c r="AJ52" i="1"/>
  <c r="AJ48" i="1"/>
  <c r="AL45" i="1"/>
  <c r="AK36" i="1"/>
  <c r="AM33" i="1"/>
  <c r="AO30" i="1"/>
  <c r="AM67" i="1"/>
  <c r="AN122" i="1"/>
  <c r="AL121" i="1"/>
  <c r="AJ120" i="1"/>
  <c r="AN118" i="1"/>
  <c r="AM108" i="1"/>
  <c r="AN104" i="1"/>
  <c r="AL103" i="1"/>
  <c r="AN100" i="1"/>
  <c r="AT100" i="1" s="1"/>
  <c r="AL99" i="1"/>
  <c r="AJ98" i="1"/>
  <c r="AN96" i="1"/>
  <c r="AL95" i="1"/>
  <c r="AN92" i="1"/>
  <c r="AL91" i="1"/>
  <c r="AJ90" i="1"/>
  <c r="AN88" i="1"/>
  <c r="AL87" i="1"/>
  <c r="AS87" i="1" s="1"/>
  <c r="AJ86" i="1"/>
  <c r="AK61" i="1"/>
  <c r="AJ44" i="1"/>
  <c r="AJ40" i="1"/>
  <c r="AN14" i="1"/>
  <c r="AO79" i="1"/>
  <c r="AM78" i="1"/>
  <c r="AK76" i="1"/>
  <c r="AS76" i="1" s="1"/>
  <c r="AM73" i="1"/>
  <c r="AS73" i="1" s="1"/>
  <c r="AL72" i="1"/>
  <c r="AJ71" i="1"/>
  <c r="AM63" i="1"/>
  <c r="AK62" i="1"/>
  <c r="AJ61" i="1"/>
  <c r="AO59" i="1"/>
  <c r="AM58" i="1"/>
  <c r="AS58" i="1" s="1"/>
  <c r="AK57" i="1"/>
  <c r="AN54" i="1"/>
  <c r="AM53" i="1"/>
  <c r="AL52" i="1"/>
  <c r="AJ51" i="1"/>
  <c r="AN49" i="1"/>
  <c r="AK47" i="1"/>
  <c r="AG44" i="1"/>
  <c r="AP45" i="1" s="1"/>
  <c r="AO44" i="1"/>
  <c r="AQ44" i="1" s="1"/>
  <c r="AM43" i="1"/>
  <c r="AK42" i="1"/>
  <c r="AN39" i="1"/>
  <c r="AN34" i="1"/>
  <c r="AL33" i="1"/>
  <c r="AK32" i="1"/>
  <c r="AK27" i="1"/>
  <c r="AJ22" i="1"/>
  <c r="AO15" i="1"/>
  <c r="AK8" i="1"/>
  <c r="AO5" i="1"/>
  <c r="AT123" i="1"/>
  <c r="AL122" i="1"/>
  <c r="AO119" i="1"/>
  <c r="AM118" i="1"/>
  <c r="AK116" i="1"/>
  <c r="AS116" i="1" s="1"/>
  <c r="AM113" i="1"/>
  <c r="AL112" i="1"/>
  <c r="AM103" i="1"/>
  <c r="AK102" i="1"/>
  <c r="AO99" i="1"/>
  <c r="AM98" i="1"/>
  <c r="AK97" i="1"/>
  <c r="AS97" i="1" s="1"/>
  <c r="AN94" i="1"/>
  <c r="AT94" i="1" s="1"/>
  <c r="AM93" i="1"/>
  <c r="AL92" i="1"/>
  <c r="AJ91" i="1"/>
  <c r="AN89" i="1"/>
  <c r="AK87" i="1"/>
  <c r="AO84" i="1"/>
  <c r="AT84" i="1" s="1"/>
  <c r="AM83" i="1"/>
  <c r="AK82" i="1"/>
  <c r="AS82" i="1" s="1"/>
  <c r="AN79" i="1"/>
  <c r="AL78" i="1"/>
  <c r="AK77" i="1"/>
  <c r="AN74" i="1"/>
  <c r="AL73" i="1"/>
  <c r="AK72" i="1"/>
  <c r="AO70" i="1"/>
  <c r="AT70" i="1" s="1"/>
  <c r="AN69" i="1"/>
  <c r="AK67" i="1"/>
  <c r="AJ62" i="1"/>
  <c r="AN59" i="1"/>
  <c r="AL58" i="1"/>
  <c r="AJ57" i="1"/>
  <c r="AO55" i="1"/>
  <c r="AM54" i="1"/>
  <c r="AK52" i="1"/>
  <c r="AS52" i="1" s="1"/>
  <c r="AM49" i="1"/>
  <c r="AL48" i="1"/>
  <c r="AJ47" i="1"/>
  <c r="AM39" i="1"/>
  <c r="AO35" i="1"/>
  <c r="AM34" i="1"/>
  <c r="AN30" i="1"/>
  <c r="AM29" i="1"/>
  <c r="AL28" i="1"/>
  <c r="AN25" i="1"/>
  <c r="AK23" i="1"/>
  <c r="AG20" i="1"/>
  <c r="AO20" i="1"/>
  <c r="AL9" i="1"/>
  <c r="AJ8" i="1"/>
  <c r="AO6" i="1"/>
  <c r="AL4" i="1"/>
  <c r="AO124" i="1"/>
  <c r="AT124" i="1" s="1"/>
  <c r="AK122" i="1"/>
  <c r="AN119" i="1"/>
  <c r="AL118" i="1"/>
  <c r="AK117" i="1"/>
  <c r="AN114" i="1"/>
  <c r="AL113" i="1"/>
  <c r="AS113" i="1" s="1"/>
  <c r="AK112" i="1"/>
  <c r="AO110" i="1"/>
  <c r="AN109" i="1"/>
  <c r="AK107" i="1"/>
  <c r="AN99" i="1"/>
  <c r="AT99" i="1" s="1"/>
  <c r="AL98" i="1"/>
  <c r="AJ97" i="1"/>
  <c r="AO95" i="1"/>
  <c r="AM94" i="1"/>
  <c r="AK92" i="1"/>
  <c r="AM89" i="1"/>
  <c r="AL88" i="1"/>
  <c r="AJ87" i="1"/>
  <c r="AM79" i="1"/>
  <c r="AK78" i="1"/>
  <c r="AS78" i="1" s="1"/>
  <c r="AJ77" i="1"/>
  <c r="AO75" i="1"/>
  <c r="AM74" i="1"/>
  <c r="AK73" i="1"/>
  <c r="AN70" i="1"/>
  <c r="AM69" i="1"/>
  <c r="AL68" i="1"/>
  <c r="AJ67" i="1"/>
  <c r="AN65" i="1"/>
  <c r="AK63" i="1"/>
  <c r="AG60" i="1"/>
  <c r="AP61" i="1" s="1"/>
  <c r="AO60" i="1"/>
  <c r="AM59" i="1"/>
  <c r="AK58" i="1"/>
  <c r="AN55" i="1"/>
  <c r="AT55" i="1" s="1"/>
  <c r="AL54" i="1"/>
  <c r="AK53" i="1"/>
  <c r="AS53" i="1" s="1"/>
  <c r="AN50" i="1"/>
  <c r="AL49" i="1"/>
  <c r="AK48" i="1"/>
  <c r="AO46" i="1"/>
  <c r="AN45" i="1"/>
  <c r="AK43" i="1"/>
  <c r="AJ38" i="1"/>
  <c r="AO31" i="1"/>
  <c r="AK28" i="1"/>
  <c r="AM25" i="1"/>
  <c r="AL24" i="1"/>
  <c r="AJ23" i="1"/>
  <c r="AJ18" i="1"/>
  <c r="AK9" i="1"/>
  <c r="AM119" i="1"/>
  <c r="AS119" i="1" s="1"/>
  <c r="AK118" i="1"/>
  <c r="AS118" i="1" s="1"/>
  <c r="AO115" i="1"/>
  <c r="AM114" i="1"/>
  <c r="AK113" i="1"/>
  <c r="AN110" i="1"/>
  <c r="AT110" i="1" s="1"/>
  <c r="AM109" i="1"/>
  <c r="AL108" i="1"/>
  <c r="AN105" i="1"/>
  <c r="AK103" i="1"/>
  <c r="AS103" i="1" s="1"/>
  <c r="AO100" i="1"/>
  <c r="AM99" i="1"/>
  <c r="AK98" i="1"/>
  <c r="AN95" i="1"/>
  <c r="AL94" i="1"/>
  <c r="AS94" i="1" s="1"/>
  <c r="AK93" i="1"/>
  <c r="AN90" i="1"/>
  <c r="AL89" i="1"/>
  <c r="AS89" i="1" s="1"/>
  <c r="AK88" i="1"/>
  <c r="AN85" i="1"/>
  <c r="AK83" i="1"/>
  <c r="AJ78" i="1"/>
  <c r="AN75" i="1"/>
  <c r="AT75" i="1" s="1"/>
  <c r="AL74" i="1"/>
  <c r="AJ73" i="1"/>
  <c r="AO71" i="1"/>
  <c r="AM70" i="1"/>
  <c r="AK68" i="1"/>
  <c r="AM65" i="1"/>
  <c r="AL64" i="1"/>
  <c r="AJ63" i="1"/>
  <c r="AM55" i="1"/>
  <c r="AK54" i="1"/>
  <c r="AS54" i="1" s="1"/>
  <c r="AJ53" i="1"/>
  <c r="AO51" i="1"/>
  <c r="AM50" i="1"/>
  <c r="AK49" i="1"/>
  <c r="AN46" i="1"/>
  <c r="AT46" i="1" s="1"/>
  <c r="AM45" i="1"/>
  <c r="AL44" i="1"/>
  <c r="AJ43" i="1"/>
  <c r="AN41" i="1"/>
  <c r="AK39" i="1"/>
  <c r="AG36" i="1"/>
  <c r="AO36" i="1"/>
  <c r="AN26" i="1"/>
  <c r="AL25" i="1"/>
  <c r="AK19" i="1"/>
  <c r="AJ14" i="1"/>
  <c r="AN11" i="1"/>
  <c r="AN7" i="1"/>
  <c r="AM6" i="1"/>
  <c r="AL5" i="1"/>
  <c r="AJ83" i="1"/>
  <c r="AN81" i="1"/>
  <c r="AK79" i="1"/>
  <c r="AG76" i="1"/>
  <c r="AO76" i="1"/>
  <c r="AQ76" i="1" s="1"/>
  <c r="AM75" i="1"/>
  <c r="AK74" i="1"/>
  <c r="AN71" i="1"/>
  <c r="AL70" i="1"/>
  <c r="AK69" i="1"/>
  <c r="AN66" i="1"/>
  <c r="AL65" i="1"/>
  <c r="AK64" i="1"/>
  <c r="AS64" i="1" s="1"/>
  <c r="AN61" i="1"/>
  <c r="AK59" i="1"/>
  <c r="AJ54" i="1"/>
  <c r="AN51" i="1"/>
  <c r="AT51" i="1" s="1"/>
  <c r="AL50" i="1"/>
  <c r="AJ49" i="1"/>
  <c r="AO47" i="1"/>
  <c r="AM46" i="1"/>
  <c r="AK44" i="1"/>
  <c r="AM41" i="1"/>
  <c r="AL40" i="1"/>
  <c r="AJ39" i="1"/>
  <c r="AJ34" i="1"/>
  <c r="AO27" i="1"/>
  <c r="AM26" i="1"/>
  <c r="AN22" i="1"/>
  <c r="AT22" i="1" s="1"/>
  <c r="AL20" i="1"/>
  <c r="AJ19" i="1"/>
  <c r="AN17" i="1"/>
  <c r="AK15" i="1"/>
  <c r="AG12" i="1"/>
  <c r="AO12" i="1"/>
  <c r="AM11" i="1"/>
  <c r="AO8" i="1"/>
  <c r="AL6" i="1"/>
  <c r="X123" i="1"/>
  <c r="AP124" i="1" s="1"/>
  <c r="X115" i="1"/>
  <c r="AP116" i="1" s="1"/>
  <c r="X107" i="1"/>
  <c r="AP108" i="1" s="1"/>
  <c r="AQ108" i="1" s="1"/>
  <c r="X99" i="1"/>
  <c r="AP100" i="1" s="1"/>
  <c r="X91" i="1"/>
  <c r="AP92" i="1" s="1"/>
  <c r="X83" i="1"/>
  <c r="AP84" i="1" s="1"/>
  <c r="AQ84" i="1" s="1"/>
  <c r="AN121" i="1"/>
  <c r="AK119" i="1"/>
  <c r="AG116" i="1"/>
  <c r="AP117" i="1" s="1"/>
  <c r="AO116" i="1"/>
  <c r="AM115" i="1"/>
  <c r="AK114" i="1"/>
  <c r="AN111" i="1"/>
  <c r="AT111" i="1" s="1"/>
  <c r="AL110" i="1"/>
  <c r="AK109" i="1"/>
  <c r="AS109" i="1" s="1"/>
  <c r="AN106" i="1"/>
  <c r="AL105" i="1"/>
  <c r="AK104" i="1"/>
  <c r="AO102" i="1"/>
  <c r="AN101" i="1"/>
  <c r="AK99" i="1"/>
  <c r="AJ94" i="1"/>
  <c r="AN91" i="1"/>
  <c r="AL90" i="1"/>
  <c r="AJ89" i="1"/>
  <c r="AO87" i="1"/>
  <c r="AM86" i="1"/>
  <c r="AK84" i="1"/>
  <c r="AM81" i="1"/>
  <c r="AS81" i="1" s="1"/>
  <c r="AL80" i="1"/>
  <c r="AJ79" i="1"/>
  <c r="AM71" i="1"/>
  <c r="AK70" i="1"/>
  <c r="AJ69" i="1"/>
  <c r="AO67" i="1"/>
  <c r="AM66" i="1"/>
  <c r="AS66" i="1" s="1"/>
  <c r="AK65" i="1"/>
  <c r="AS65" i="1" s="1"/>
  <c r="AN62" i="1"/>
  <c r="AT62" i="1" s="1"/>
  <c r="AM61" i="1"/>
  <c r="AS61" i="1" s="1"/>
  <c r="AL60" i="1"/>
  <c r="AJ59" i="1"/>
  <c r="AN57" i="1"/>
  <c r="AK55" i="1"/>
  <c r="AG52" i="1"/>
  <c r="AP53" i="1" s="1"/>
  <c r="AO52" i="1"/>
  <c r="AM51" i="1"/>
  <c r="AS51" i="1" s="1"/>
  <c r="AK50" i="1"/>
  <c r="AN47" i="1"/>
  <c r="AL46" i="1"/>
  <c r="AK45" i="1"/>
  <c r="AN42" i="1"/>
  <c r="AL41" i="1"/>
  <c r="AK40" i="1"/>
  <c r="AS40" i="1" s="1"/>
  <c r="AO38" i="1"/>
  <c r="AK35" i="1"/>
  <c r="AJ30" i="1"/>
  <c r="AO23" i="1"/>
  <c r="AM17" i="1"/>
  <c r="AL16" i="1"/>
  <c r="AJ15" i="1"/>
  <c r="X122" i="1"/>
  <c r="AP123" i="1" s="1"/>
  <c r="X114" i="1"/>
  <c r="AP115" i="1" s="1"/>
  <c r="AQ115" i="1" s="1"/>
  <c r="X106" i="1"/>
  <c r="AP107" i="1" s="1"/>
  <c r="AQ107" i="1" s="1"/>
  <c r="X98" i="1"/>
  <c r="AP99" i="1" s="1"/>
  <c r="X90" i="1"/>
  <c r="AP91" i="1" s="1"/>
  <c r="X82" i="1"/>
  <c r="AP83" i="1" s="1"/>
  <c r="X74" i="1"/>
  <c r="AP75" i="1" s="1"/>
  <c r="X66" i="1"/>
  <c r="AP67" i="1" s="1"/>
  <c r="X58" i="1"/>
  <c r="AP59" i="1" s="1"/>
  <c r="X50" i="1"/>
  <c r="AP51" i="1" s="1"/>
  <c r="AQ51" i="1" s="1"/>
  <c r="X42" i="1"/>
  <c r="AP43" i="1" s="1"/>
  <c r="X34" i="1"/>
  <c r="AP35" i="1" s="1"/>
  <c r="X26" i="1"/>
  <c r="AP27" i="1" s="1"/>
  <c r="X18" i="1"/>
  <c r="AP19" i="1" s="1"/>
  <c r="AM121" i="1"/>
  <c r="AL120" i="1"/>
  <c r="AM111" i="1"/>
  <c r="AK110" i="1"/>
  <c r="AS110" i="1" s="1"/>
  <c r="AO107" i="1"/>
  <c r="AM106" i="1"/>
  <c r="AK105" i="1"/>
  <c r="AN102" i="1"/>
  <c r="AM101" i="1"/>
  <c r="AL100" i="1"/>
  <c r="AQ100" i="1" s="1"/>
  <c r="AJ99" i="1"/>
  <c r="AN97" i="1"/>
  <c r="AK95" i="1"/>
  <c r="AS95" i="1" s="1"/>
  <c r="AG92" i="1"/>
  <c r="AP93" i="1" s="1"/>
  <c r="AO92" i="1"/>
  <c r="AM91" i="1"/>
  <c r="AK90" i="1"/>
  <c r="AN87" i="1"/>
  <c r="AT87" i="1" s="1"/>
  <c r="AL86" i="1"/>
  <c r="AK85" i="1"/>
  <c r="AN82" i="1"/>
  <c r="AL81" i="1"/>
  <c r="AK80" i="1"/>
  <c r="AO78" i="1"/>
  <c r="AN77" i="1"/>
  <c r="AK75" i="1"/>
  <c r="AS75" i="1" s="1"/>
  <c r="AJ70" i="1"/>
  <c r="AG67" i="1"/>
  <c r="AP68" i="1" s="1"/>
  <c r="AN67" i="1"/>
  <c r="AL66" i="1"/>
  <c r="AJ65" i="1"/>
  <c r="AO63" i="1"/>
  <c r="AT63" i="1" s="1"/>
  <c r="AM62" i="1"/>
  <c r="AS62" i="1" s="1"/>
  <c r="AK60" i="1"/>
  <c r="AM57" i="1"/>
  <c r="AL56" i="1"/>
  <c r="AS56" i="1" s="1"/>
  <c r="AJ55" i="1"/>
  <c r="AM47" i="1"/>
  <c r="AK46" i="1"/>
  <c r="AJ45" i="1"/>
  <c r="AO43" i="1"/>
  <c r="AM42" i="1"/>
  <c r="AK41" i="1"/>
  <c r="AS41" i="1" s="1"/>
  <c r="AN38" i="1"/>
  <c r="AM37" i="1"/>
  <c r="AL36" i="1"/>
  <c r="AN33" i="1"/>
  <c r="AK31" i="1"/>
  <c r="AG28" i="1"/>
  <c r="AO28" i="1"/>
  <c r="AN18" i="1"/>
  <c r="AL17" i="1"/>
  <c r="AO14" i="1"/>
  <c r="AT14" i="1" s="1"/>
  <c r="AN13" i="1"/>
  <c r="AJ115" i="1"/>
  <c r="AJ121" i="1"/>
  <c r="AJ111" i="1"/>
  <c r="AJ101" i="1"/>
  <c r="AJ102" i="1"/>
  <c r="AJ117" i="1"/>
  <c r="AJ107" i="1"/>
  <c r="AJ118" i="1"/>
  <c r="AJ113" i="1"/>
  <c r="AJ103" i="1"/>
  <c r="AJ123" i="1"/>
  <c r="AJ119" i="1"/>
  <c r="AJ109" i="1"/>
  <c r="AP65" i="1"/>
  <c r="AS121" i="1"/>
  <c r="AS96" i="1"/>
  <c r="AS91" i="1"/>
  <c r="AT54" i="1"/>
  <c r="AS47" i="1"/>
  <c r="AS42" i="1"/>
  <c r="AS102" i="1"/>
  <c r="AS122" i="1"/>
  <c r="AS112" i="1"/>
  <c r="AS107" i="1"/>
  <c r="AS92" i="1"/>
  <c r="AS63" i="1"/>
  <c r="AS48" i="1"/>
  <c r="AS43" i="1"/>
  <c r="AS98" i="1"/>
  <c r="AS93" i="1"/>
  <c r="AS88" i="1"/>
  <c r="AS83" i="1"/>
  <c r="AQ68" i="1"/>
  <c r="AS68" i="1"/>
  <c r="AS49" i="1"/>
  <c r="AS39" i="1"/>
  <c r="AS123" i="1"/>
  <c r="AS108" i="1"/>
  <c r="AT86" i="1"/>
  <c r="AS74" i="1"/>
  <c r="AS44" i="1"/>
  <c r="AS115" i="1"/>
  <c r="AS4" i="1"/>
  <c r="AP4" i="1"/>
  <c r="AS114" i="1"/>
  <c r="AS104" i="1"/>
  <c r="AS84" i="1"/>
  <c r="AS70" i="1"/>
  <c r="AS55" i="1"/>
  <c r="AS45" i="1"/>
  <c r="AS120" i="1"/>
  <c r="AS124" i="1"/>
  <c r="AS90" i="1"/>
  <c r="AS80" i="1"/>
  <c r="AS46" i="1"/>
  <c r="AK24" i="1"/>
  <c r="AK16" i="1"/>
  <c r="AG117" i="1"/>
  <c r="AO117" i="1"/>
  <c r="AG109" i="1"/>
  <c r="AO109" i="1"/>
  <c r="AG101" i="1"/>
  <c r="AO101" i="1"/>
  <c r="AT101" i="1" s="1"/>
  <c r="AG93" i="1"/>
  <c r="AO93" i="1"/>
  <c r="AT93" i="1" s="1"/>
  <c r="AG85" i="1"/>
  <c r="AO85" i="1"/>
  <c r="AT85" i="1" s="1"/>
  <c r="AG77" i="1"/>
  <c r="AO77" i="1"/>
  <c r="AT77" i="1" s="1"/>
  <c r="AG69" i="1"/>
  <c r="AO69" i="1"/>
  <c r="AG61" i="1"/>
  <c r="AO61" i="1"/>
  <c r="AG53" i="1"/>
  <c r="AO53" i="1"/>
  <c r="AT53" i="1" s="1"/>
  <c r="AG45" i="1"/>
  <c r="AO45" i="1"/>
  <c r="AQ45" i="1" s="1"/>
  <c r="AG37" i="1"/>
  <c r="AO37" i="1"/>
  <c r="AT37" i="1" s="1"/>
  <c r="AN36" i="1"/>
  <c r="AT36" i="1" s="1"/>
  <c r="AM35" i="1"/>
  <c r="AL34" i="1"/>
  <c r="AK33" i="1"/>
  <c r="AJ32" i="1"/>
  <c r="AG29" i="1"/>
  <c r="AO29" i="1"/>
  <c r="AT29" i="1" s="1"/>
  <c r="AN28" i="1"/>
  <c r="AM27" i="1"/>
  <c r="AL26" i="1"/>
  <c r="AK25" i="1"/>
  <c r="AJ24" i="1"/>
  <c r="AG21" i="1"/>
  <c r="AO21" i="1"/>
  <c r="AT21" i="1" s="1"/>
  <c r="AN20" i="1"/>
  <c r="AT20" i="1" s="1"/>
  <c r="AM19" i="1"/>
  <c r="AL18" i="1"/>
  <c r="AK17" i="1"/>
  <c r="AJ16" i="1"/>
  <c r="AG13" i="1"/>
  <c r="AO13" i="1"/>
  <c r="AT13" i="1" s="1"/>
  <c r="AN12" i="1"/>
  <c r="AT12" i="1" s="1"/>
  <c r="AL11" i="1"/>
  <c r="AS11" i="1" s="1"/>
  <c r="AK10" i="1"/>
  <c r="AN5" i="1"/>
  <c r="AT5" i="1" s="1"/>
  <c r="X48" i="1"/>
  <c r="AP49" i="1" s="1"/>
  <c r="AP37" i="1"/>
  <c r="AN35" i="1"/>
  <c r="AT35" i="1" s="1"/>
  <c r="AP29" i="1"/>
  <c r="AN27" i="1"/>
  <c r="AT27" i="1" s="1"/>
  <c r="AN19" i="1"/>
  <c r="AM10" i="1"/>
  <c r="X4" i="1"/>
  <c r="AM36" i="1"/>
  <c r="AL35" i="1"/>
  <c r="AK34" i="1"/>
  <c r="AJ33" i="1"/>
  <c r="AM28" i="1"/>
  <c r="AQ28" i="1" s="1"/>
  <c r="AL27" i="1"/>
  <c r="AK26" i="1"/>
  <c r="AJ25" i="1"/>
  <c r="AM20" i="1"/>
  <c r="AL19" i="1"/>
  <c r="AS19" i="1" s="1"/>
  <c r="AK18" i="1"/>
  <c r="AJ17" i="1"/>
  <c r="AM12" i="1"/>
  <c r="AK11" i="1"/>
  <c r="AJ10" i="1"/>
  <c r="AO7" i="1"/>
  <c r="AT7" i="1" s="1"/>
  <c r="AN6" i="1"/>
  <c r="AM5" i="1"/>
  <c r="X56" i="1"/>
  <c r="AP57" i="1" s="1"/>
  <c r="AJ11" i="1"/>
  <c r="X120" i="1"/>
  <c r="AP121" i="1" s="1"/>
  <c r="AO4" i="1"/>
  <c r="AQ4" i="1" s="1"/>
  <c r="AO120" i="1"/>
  <c r="AT120" i="1" s="1"/>
  <c r="AO112" i="1"/>
  <c r="AO104" i="1"/>
  <c r="AT104" i="1" s="1"/>
  <c r="AO96" i="1"/>
  <c r="AT96" i="1" s="1"/>
  <c r="AO88" i="1"/>
  <c r="AT88" i="1" s="1"/>
  <c r="AO80" i="1"/>
  <c r="AT80" i="1" s="1"/>
  <c r="AO72" i="1"/>
  <c r="AO64" i="1"/>
  <c r="AT64" i="1" s="1"/>
  <c r="AO56" i="1"/>
  <c r="AO48" i="1"/>
  <c r="AO40" i="1"/>
  <c r="AM38" i="1"/>
  <c r="AL37" i="1"/>
  <c r="AO32" i="1"/>
  <c r="AN31" i="1"/>
  <c r="AM30" i="1"/>
  <c r="AL29" i="1"/>
  <c r="AO24" i="1"/>
  <c r="AN23" i="1"/>
  <c r="AT23" i="1" s="1"/>
  <c r="AM22" i="1"/>
  <c r="AL21" i="1"/>
  <c r="AK20" i="1"/>
  <c r="AO16" i="1"/>
  <c r="AN15" i="1"/>
  <c r="AT15" i="1" s="1"/>
  <c r="AM14" i="1"/>
  <c r="AL13" i="1"/>
  <c r="AK12" i="1"/>
  <c r="AO9" i="1"/>
  <c r="AN8" i="1"/>
  <c r="AM7" i="1"/>
  <c r="AK5" i="1"/>
  <c r="AJ7" i="1"/>
  <c r="AT48" i="1"/>
  <c r="AT30" i="1"/>
  <c r="AM13" i="1"/>
  <c r="X112" i="1"/>
  <c r="AP113" i="1" s="1"/>
  <c r="AO121" i="1"/>
  <c r="AO113" i="1"/>
  <c r="AT113" i="1" s="1"/>
  <c r="AO105" i="1"/>
  <c r="AO97" i="1"/>
  <c r="AT97" i="1" s="1"/>
  <c r="AO89" i="1"/>
  <c r="AT89" i="1" s="1"/>
  <c r="AO81" i="1"/>
  <c r="AO73" i="1"/>
  <c r="AG65" i="1"/>
  <c r="AO65" i="1"/>
  <c r="AO57" i="1"/>
  <c r="AT57" i="1" s="1"/>
  <c r="AO49" i="1"/>
  <c r="AQ49" i="1" s="1"/>
  <c r="AO41" i="1"/>
  <c r="AL38" i="1"/>
  <c r="AK37" i="1"/>
  <c r="AJ36" i="1"/>
  <c r="AO33" i="1"/>
  <c r="AT33" i="1" s="1"/>
  <c r="AN32" i="1"/>
  <c r="AT32" i="1" s="1"/>
  <c r="AM31" i="1"/>
  <c r="AL30" i="1"/>
  <c r="AK29" i="1"/>
  <c r="AJ28" i="1"/>
  <c r="AO25" i="1"/>
  <c r="AT25" i="1" s="1"/>
  <c r="AN24" i="1"/>
  <c r="AM23" i="1"/>
  <c r="AL22" i="1"/>
  <c r="AK21" i="1"/>
  <c r="AJ20" i="1"/>
  <c r="AO17" i="1"/>
  <c r="AT17" i="1" s="1"/>
  <c r="AN16" i="1"/>
  <c r="AM15" i="1"/>
  <c r="AL14" i="1"/>
  <c r="AK13" i="1"/>
  <c r="AJ12" i="1"/>
  <c r="AO10" i="1"/>
  <c r="AN9" i="1"/>
  <c r="AM8" i="1"/>
  <c r="AL7" i="1"/>
  <c r="AK6" i="1"/>
  <c r="AP5" i="1"/>
  <c r="AM21" i="1"/>
  <c r="AO122" i="1"/>
  <c r="AO114" i="1"/>
  <c r="AO106" i="1"/>
  <c r="AT106" i="1" s="1"/>
  <c r="AO98" i="1"/>
  <c r="AT98" i="1" s="1"/>
  <c r="AO90" i="1"/>
  <c r="AO82" i="1"/>
  <c r="AO74" i="1"/>
  <c r="AT74" i="1" s="1"/>
  <c r="AO66" i="1"/>
  <c r="AO58" i="1"/>
  <c r="AT58" i="1" s="1"/>
  <c r="AO50" i="1"/>
  <c r="AO42" i="1"/>
  <c r="AT42" i="1" s="1"/>
  <c r="AK38" i="1"/>
  <c r="AJ37" i="1"/>
  <c r="AO34" i="1"/>
  <c r="AT34" i="1" s="1"/>
  <c r="AM32" i="1"/>
  <c r="AL31" i="1"/>
  <c r="AS31" i="1" s="1"/>
  <c r="AK30" i="1"/>
  <c r="AJ29" i="1"/>
  <c r="AO26" i="1"/>
  <c r="AT26" i="1" s="1"/>
  <c r="AM24" i="1"/>
  <c r="AL23" i="1"/>
  <c r="AS23" i="1" s="1"/>
  <c r="AK22" i="1"/>
  <c r="AJ21" i="1"/>
  <c r="AO18" i="1"/>
  <c r="AT18" i="1" s="1"/>
  <c r="AM16" i="1"/>
  <c r="AL15" i="1"/>
  <c r="AS15" i="1" s="1"/>
  <c r="AK14" i="1"/>
  <c r="AJ13" i="1"/>
  <c r="AO11" i="1"/>
  <c r="AN10" i="1"/>
  <c r="AM9" i="1"/>
  <c r="AS9" i="1" s="1"/>
  <c r="AL8" i="1"/>
  <c r="AK7" i="1"/>
  <c r="AJ6" i="1"/>
  <c r="X10" i="1"/>
  <c r="AP11" i="1" s="1"/>
  <c r="X104" i="1"/>
  <c r="AP105" i="1" s="1"/>
  <c r="X40" i="1"/>
  <c r="AP41" i="1" s="1"/>
  <c r="X96" i="1"/>
  <c r="AP97" i="1" s="1"/>
  <c r="X32" i="1"/>
  <c r="AP33" i="1" s="1"/>
  <c r="X121" i="1"/>
  <c r="AP122" i="1" s="1"/>
  <c r="X113" i="1"/>
  <c r="AP114" i="1" s="1"/>
  <c r="X105" i="1"/>
  <c r="AP106" i="1" s="1"/>
  <c r="X97" i="1"/>
  <c r="AP98" i="1" s="1"/>
  <c r="X89" i="1"/>
  <c r="AP90" i="1" s="1"/>
  <c r="X81" i="1"/>
  <c r="AP82" i="1" s="1"/>
  <c r="X73" i="1"/>
  <c r="AP74" i="1" s="1"/>
  <c r="AQ74" i="1" s="1"/>
  <c r="X65" i="1"/>
  <c r="X57" i="1"/>
  <c r="AP58" i="1" s="1"/>
  <c r="X49" i="1"/>
  <c r="AP50" i="1" s="1"/>
  <c r="X41" i="1"/>
  <c r="AP42" i="1" s="1"/>
  <c r="X33" i="1"/>
  <c r="AP34" i="1" s="1"/>
  <c r="X25" i="1"/>
  <c r="AP26" i="1" s="1"/>
  <c r="X17" i="1"/>
  <c r="AP18" i="1" s="1"/>
  <c r="X9" i="1"/>
  <c r="AP10" i="1" s="1"/>
  <c r="X88" i="1"/>
  <c r="AP89" i="1" s="1"/>
  <c r="X24" i="1"/>
  <c r="AP25" i="1" s="1"/>
  <c r="X80" i="1"/>
  <c r="AP81" i="1" s="1"/>
  <c r="X16" i="1"/>
  <c r="AP17" i="1" s="1"/>
  <c r="X72" i="1"/>
  <c r="AP73" i="1" s="1"/>
  <c r="X8" i="1"/>
  <c r="AP9" i="1" s="1"/>
  <c r="X119" i="1"/>
  <c r="AP120" i="1" s="1"/>
  <c r="X111" i="1"/>
  <c r="AP112" i="1" s="1"/>
  <c r="X103" i="1"/>
  <c r="AP104" i="1" s="1"/>
  <c r="X95" i="1"/>
  <c r="AP96" i="1" s="1"/>
  <c r="X87" i="1"/>
  <c r="AP88" i="1" s="1"/>
  <c r="AQ88" i="1" s="1"/>
  <c r="X79" i="1"/>
  <c r="AP80" i="1" s="1"/>
  <c r="X71" i="1"/>
  <c r="AP72" i="1" s="1"/>
  <c r="X63" i="1"/>
  <c r="AP64" i="1" s="1"/>
  <c r="X55" i="1"/>
  <c r="AP56" i="1" s="1"/>
  <c r="X47" i="1"/>
  <c r="AP48" i="1" s="1"/>
  <c r="X39" i="1"/>
  <c r="AP40" i="1" s="1"/>
  <c r="X31" i="1"/>
  <c r="AP32" i="1" s="1"/>
  <c r="X23" i="1"/>
  <c r="AP24" i="1" s="1"/>
  <c r="X15" i="1"/>
  <c r="AP16" i="1" s="1"/>
  <c r="X7" i="1"/>
  <c r="AP8" i="1" s="1"/>
  <c r="X118" i="1"/>
  <c r="AP119" i="1" s="1"/>
  <c r="AQ119" i="1" s="1"/>
  <c r="X110" i="1"/>
  <c r="AP111" i="1" s="1"/>
  <c r="X102" i="1"/>
  <c r="AP103" i="1" s="1"/>
  <c r="X94" i="1"/>
  <c r="AP95" i="1" s="1"/>
  <c r="X86" i="1"/>
  <c r="AP87" i="1" s="1"/>
  <c r="X78" i="1"/>
  <c r="AP79" i="1" s="1"/>
  <c r="X70" i="1"/>
  <c r="AP71" i="1" s="1"/>
  <c r="X62" i="1"/>
  <c r="AP63" i="1" s="1"/>
  <c r="AQ63" i="1" s="1"/>
  <c r="X54" i="1"/>
  <c r="AP55" i="1" s="1"/>
  <c r="AQ55" i="1" s="1"/>
  <c r="X46" i="1"/>
  <c r="AP47" i="1" s="1"/>
  <c r="X38" i="1"/>
  <c r="AP39" i="1" s="1"/>
  <c r="X30" i="1"/>
  <c r="AP31" i="1" s="1"/>
  <c r="X22" i="1"/>
  <c r="AP23" i="1" s="1"/>
  <c r="X14" i="1"/>
  <c r="AP15" i="1" s="1"/>
  <c r="X6" i="1"/>
  <c r="AP7" i="1" s="1"/>
  <c r="X117" i="1"/>
  <c r="X109" i="1"/>
  <c r="X101" i="1"/>
  <c r="X93" i="1"/>
  <c r="X85" i="1"/>
  <c r="X77" i="1"/>
  <c r="X69" i="1"/>
  <c r="X61" i="1"/>
  <c r="X53" i="1"/>
  <c r="X45" i="1"/>
  <c r="X37" i="1"/>
  <c r="X29" i="1"/>
  <c r="X21" i="1"/>
  <c r="X13" i="1"/>
  <c r="X5" i="1"/>
  <c r="AP6" i="1" s="1"/>
  <c r="AQ85" i="1" l="1"/>
  <c r="AT41" i="1"/>
  <c r="AT45" i="1"/>
  <c r="AT114" i="1"/>
  <c r="AT9" i="1"/>
  <c r="AQ105" i="1"/>
  <c r="AT112" i="1"/>
  <c r="AT6" i="1"/>
  <c r="AS85" i="1"/>
  <c r="AS57" i="1"/>
  <c r="AS86" i="1"/>
  <c r="AS111" i="1"/>
  <c r="AQ59" i="1"/>
  <c r="AQ52" i="1"/>
  <c r="AQ99" i="1"/>
  <c r="AQ92" i="1"/>
  <c r="AQ43" i="1"/>
  <c r="AQ117" i="1"/>
  <c r="AQ109" i="1"/>
  <c r="AT38" i="1"/>
  <c r="AQ79" i="1"/>
  <c r="AQ114" i="1"/>
  <c r="AT122" i="1"/>
  <c r="AQ56" i="1"/>
  <c r="AT117" i="1"/>
  <c r="AQ60" i="1"/>
  <c r="AQ67" i="1"/>
  <c r="AS50" i="1"/>
  <c r="AQ71" i="1"/>
  <c r="AT65" i="1"/>
  <c r="AQ101" i="1"/>
  <c r="AQ75" i="1"/>
  <c r="AP77" i="1"/>
  <c r="AQ77" i="1" s="1"/>
  <c r="AQ58" i="1"/>
  <c r="AQ8" i="1"/>
  <c r="AT121" i="1"/>
  <c r="AQ31" i="1"/>
  <c r="AQ95" i="1"/>
  <c r="AQ104" i="1"/>
  <c r="AT31" i="1"/>
  <c r="AQ121" i="1"/>
  <c r="AQ61" i="1"/>
  <c r="AT102" i="1"/>
  <c r="AQ83" i="1"/>
  <c r="AQ116" i="1"/>
  <c r="AT39" i="1"/>
  <c r="AQ39" i="1"/>
  <c r="AT19" i="1"/>
  <c r="AQ91" i="1"/>
  <c r="AQ87" i="1"/>
  <c r="AQ103" i="1"/>
  <c r="AQ47" i="1"/>
  <c r="AQ111" i="1"/>
  <c r="AT11" i="1"/>
  <c r="AT8" i="1"/>
  <c r="AT28" i="1"/>
  <c r="AQ69" i="1"/>
  <c r="AS106" i="1"/>
  <c r="AS67" i="1"/>
  <c r="AT79" i="1"/>
  <c r="AP128" i="1"/>
  <c r="AQ128" i="1" s="1"/>
  <c r="AQ123" i="1"/>
  <c r="AQ124" i="1"/>
  <c r="AQ40" i="1"/>
  <c r="AQ35" i="1"/>
  <c r="AT44" i="1"/>
  <c r="AT43" i="1"/>
  <c r="AP94" i="1"/>
  <c r="AQ94" i="1" s="1"/>
  <c r="AT107" i="1"/>
  <c r="AQ19" i="1"/>
  <c r="AT52" i="1"/>
  <c r="AT68" i="1"/>
  <c r="AQ32" i="1"/>
  <c r="AQ82" i="1"/>
  <c r="AQ36" i="1"/>
  <c r="AT95" i="1"/>
  <c r="AT119" i="1"/>
  <c r="AT76" i="1"/>
  <c r="AT115" i="1"/>
  <c r="AQ90" i="1"/>
  <c r="AT24" i="1"/>
  <c r="AS60" i="1"/>
  <c r="AS36" i="1"/>
  <c r="AT71" i="1"/>
  <c r="AS10" i="1"/>
  <c r="AS99" i="1"/>
  <c r="AS100" i="1"/>
  <c r="AT67" i="1"/>
  <c r="AT47" i="1"/>
  <c r="AT59" i="1"/>
  <c r="AT92" i="1"/>
  <c r="AT78" i="1"/>
  <c r="AQ80" i="1"/>
  <c r="AQ27" i="1"/>
  <c r="AT91" i="1"/>
  <c r="AT116" i="1"/>
  <c r="AT60" i="1"/>
  <c r="AQ48" i="1"/>
  <c r="AQ112" i="1"/>
  <c r="AQ72" i="1"/>
  <c r="AQ73" i="1"/>
  <c r="AQ81" i="1"/>
  <c r="AQ50" i="1"/>
  <c r="AQ96" i="1"/>
  <c r="AT61" i="1"/>
  <c r="AS35" i="1"/>
  <c r="AP62" i="1"/>
  <c r="AQ62" i="1" s="1"/>
  <c r="AT105" i="1"/>
  <c r="AQ97" i="1"/>
  <c r="AS14" i="1"/>
  <c r="AQ21" i="1"/>
  <c r="AS21" i="1"/>
  <c r="AS5" i="1"/>
  <c r="AQ5" i="1"/>
  <c r="AQ9" i="1"/>
  <c r="AQ24" i="1"/>
  <c r="AS24" i="1"/>
  <c r="AT82" i="1"/>
  <c r="AQ120" i="1"/>
  <c r="AQ65" i="1"/>
  <c r="AQ15" i="1"/>
  <c r="AQ64" i="1"/>
  <c r="AS32" i="1"/>
  <c r="AQ17" i="1"/>
  <c r="AS17" i="1"/>
  <c r="AT90" i="1"/>
  <c r="AT56" i="1"/>
  <c r="AQ20" i="1"/>
  <c r="AS20" i="1"/>
  <c r="AQ23" i="1"/>
  <c r="AP38" i="1"/>
  <c r="AQ38" i="1" s="1"/>
  <c r="AP70" i="1"/>
  <c r="AQ70" i="1" s="1"/>
  <c r="AP102" i="1"/>
  <c r="AQ102" i="1" s="1"/>
  <c r="AT4" i="1"/>
  <c r="AT66" i="1"/>
  <c r="AT81" i="1"/>
  <c r="AQ93" i="1"/>
  <c r="AQ113" i="1"/>
  <c r="AT50" i="1"/>
  <c r="AQ106" i="1"/>
  <c r="AQ29" i="1"/>
  <c r="AS29" i="1"/>
  <c r="AQ41" i="1"/>
  <c r="AS30" i="1"/>
  <c r="AP66" i="1"/>
  <c r="AQ66" i="1" s="1"/>
  <c r="AT72" i="1"/>
  <c r="AQ18" i="1"/>
  <c r="AS18" i="1"/>
  <c r="AQ34" i="1"/>
  <c r="AS34" i="1"/>
  <c r="AP30" i="1"/>
  <c r="AQ30" i="1" s="1"/>
  <c r="AS28" i="1"/>
  <c r="AT73" i="1"/>
  <c r="AT69" i="1"/>
  <c r="AQ57" i="1"/>
  <c r="AQ26" i="1"/>
  <c r="AS26" i="1"/>
  <c r="AS38" i="1"/>
  <c r="AQ16" i="1"/>
  <c r="AS16" i="1"/>
  <c r="AQ13" i="1"/>
  <c r="AS13" i="1"/>
  <c r="AP22" i="1"/>
  <c r="AQ22" i="1" s="1"/>
  <c r="AP46" i="1"/>
  <c r="AQ46" i="1" s="1"/>
  <c r="AP78" i="1"/>
  <c r="AQ78" i="1" s="1"/>
  <c r="AP110" i="1"/>
  <c r="AQ110" i="1" s="1"/>
  <c r="AQ53" i="1"/>
  <c r="AT109" i="1"/>
  <c r="AQ122" i="1"/>
  <c r="AQ10" i="1"/>
  <c r="AQ7" i="1"/>
  <c r="AS7" i="1"/>
  <c r="AQ6" i="1"/>
  <c r="AS6" i="1"/>
  <c r="AQ37" i="1"/>
  <c r="AS37" i="1"/>
  <c r="AQ12" i="1"/>
  <c r="AS12" i="1"/>
  <c r="AS27" i="1"/>
  <c r="AS8" i="1"/>
  <c r="AP14" i="1"/>
  <c r="AQ14" i="1" s="1"/>
  <c r="AQ33" i="1"/>
  <c r="AS33" i="1"/>
  <c r="AQ89" i="1"/>
  <c r="AQ98" i="1"/>
  <c r="AQ42" i="1"/>
  <c r="AT49" i="1"/>
  <c r="AQ11" i="1"/>
  <c r="AT10" i="1"/>
  <c r="AS22" i="1"/>
  <c r="AT16" i="1"/>
  <c r="AQ25" i="1"/>
  <c r="AS25" i="1"/>
  <c r="AP54" i="1"/>
  <c r="AQ54" i="1" s="1"/>
  <c r="AP86" i="1"/>
  <c r="AQ86" i="1" s="1"/>
  <c r="AP118" i="1"/>
  <c r="AQ118" i="1" s="1"/>
</calcChain>
</file>

<file path=xl/sharedStrings.xml><?xml version="1.0" encoding="utf-8"?>
<sst xmlns="http://schemas.openxmlformats.org/spreadsheetml/2006/main" count="79" uniqueCount="44">
  <si>
    <t>Fecha</t>
  </si>
  <si>
    <t>PIB Val</t>
  </si>
  <si>
    <t>C pv Val</t>
  </si>
  <si>
    <t>C pb Val</t>
  </si>
  <si>
    <t>FBCF Val</t>
  </si>
  <si>
    <t>X Val</t>
  </si>
  <si>
    <t>M Val</t>
  </si>
  <si>
    <t>PIB Vol</t>
  </si>
  <si>
    <t>C pv Vol</t>
  </si>
  <si>
    <t>C pb Vol</t>
  </si>
  <si>
    <t>FBCF Vol</t>
  </si>
  <si>
    <t>X Vol</t>
  </si>
  <si>
    <t>M Vol</t>
  </si>
  <si>
    <t>Variation de Stock</t>
  </si>
  <si>
    <t>Unemployement</t>
  </si>
  <si>
    <t>IPCH</t>
  </si>
  <si>
    <t>D intérieure</t>
  </si>
  <si>
    <t>Commerce exterieur</t>
  </si>
  <si>
    <t>IPCH ANNUEL</t>
  </si>
  <si>
    <t>T2</t>
  </si>
  <si>
    <t>T3</t>
  </si>
  <si>
    <t>T4</t>
  </si>
  <si>
    <t>2025 T1</t>
  </si>
  <si>
    <t>2026 T1</t>
  </si>
  <si>
    <t>PIB</t>
  </si>
  <si>
    <t>Demande intérieure hors stocks</t>
  </si>
  <si>
    <t>Variations de stocks</t>
  </si>
  <si>
    <t>Commerce extérieur</t>
  </si>
  <si>
    <t>FBCF totale</t>
  </si>
  <si>
    <t>Exportations B&amp;S</t>
  </si>
  <si>
    <t>Importations B&amp;S</t>
  </si>
  <si>
    <t>Poste \ Trimestre</t>
  </si>
  <si>
    <t>2025 T2</t>
  </si>
  <si>
    <t>2025 T3</t>
  </si>
  <si>
    <t>2025 T4</t>
  </si>
  <si>
    <t>2026 T2</t>
  </si>
  <si>
    <t>2026 T3</t>
  </si>
  <si>
    <t>2026 T4</t>
  </si>
  <si>
    <t>PIB par tête</t>
  </si>
  <si>
    <t>Consommation des ménages</t>
  </si>
  <si>
    <r>
      <t>Consommation publique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(ajustée)</t>
    </r>
  </si>
  <si>
    <t>   productive</t>
  </si>
  <si>
    <t>   logement</t>
  </si>
  <si>
    <t>variation annuelle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</si>
</sst>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14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4" fontId="2" fillId="0" borderId="0" xfId="0" applyNumberFormat="1" applyFont="1"/>
    <xf numFmtId="14" fontId="5" fillId="0" borderId="0" xfId="0" applyNumberFormat="1" applyFont="1"/>
    <xf numFmtId="0" fontId="2" fillId="0" borderId="0" xfId="0" applyFont="1"/>
  </cellXfs>
  <cellStyles count="2">
    <cellStyle name="Normal" xfId="0" builtinId="0"/>
    <cellStyle name="Normal 3" xfId="1" xr:uid="{071041A4-8E7F-46A8-8A32-650D0333F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53003\Documents\GitHub\Espagne\pib_final_2.xlsx" TargetMode="External"/><Relationship Id="rId1" Type="http://schemas.openxmlformats.org/officeDocument/2006/relationships/externalLinkPath" Target="pib_final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2">
          <cell r="H2">
            <v>189189</v>
          </cell>
          <cell r="I2">
            <v>34353</v>
          </cell>
          <cell r="J2">
            <v>114559</v>
          </cell>
          <cell r="K2">
            <v>37072</v>
          </cell>
          <cell r="L2">
            <v>36066</v>
          </cell>
          <cell r="M2">
            <v>35615</v>
          </cell>
        </row>
        <row r="3">
          <cell r="H3">
            <v>190436.220069834</v>
          </cell>
          <cell r="I3">
            <v>34673.431613012901</v>
          </cell>
          <cell r="J3">
            <v>114527.06415331</v>
          </cell>
          <cell r="K3">
            <v>37439.755443158298</v>
          </cell>
          <cell r="L3">
            <v>36024.266604952601</v>
          </cell>
          <cell r="M3">
            <v>35714.268309482402</v>
          </cell>
        </row>
        <row r="4">
          <cell r="H4">
            <v>191279.46279246701</v>
          </cell>
          <cell r="I4">
            <v>34770.9030955899</v>
          </cell>
          <cell r="J4">
            <v>114517.851889842</v>
          </cell>
          <cell r="K4">
            <v>37533.953095926197</v>
          </cell>
          <cell r="L4">
            <v>37047.81038658</v>
          </cell>
          <cell r="M4">
            <v>36430.161266252297</v>
          </cell>
        </row>
        <row r="5">
          <cell r="H5">
            <v>192727.96577533701</v>
          </cell>
          <cell r="I5">
            <v>35051.545625135397</v>
          </cell>
          <cell r="J5">
            <v>114805.683943981</v>
          </cell>
          <cell r="K5">
            <v>37621.583892218398</v>
          </cell>
          <cell r="L5">
            <v>37607.812314350696</v>
          </cell>
          <cell r="M5">
            <v>36775.883187579901</v>
          </cell>
        </row>
        <row r="6">
          <cell r="H6">
            <v>193835.162949146</v>
          </cell>
          <cell r="I6">
            <v>35064.118033757601</v>
          </cell>
          <cell r="J6">
            <v>114684.49150013299</v>
          </cell>
          <cell r="K6">
            <v>38386.680074230702</v>
          </cell>
          <cell r="L6">
            <v>38972.451308283402</v>
          </cell>
          <cell r="M6">
            <v>37304.360192674598</v>
          </cell>
        </row>
        <row r="7">
          <cell r="H7">
            <v>195175.825717739</v>
          </cell>
          <cell r="I7">
            <v>35498.219288770902</v>
          </cell>
          <cell r="J7">
            <v>114888.59431519501</v>
          </cell>
          <cell r="K7">
            <v>38641.817372985999</v>
          </cell>
          <cell r="L7">
            <v>39475.4893030202</v>
          </cell>
          <cell r="M7">
            <v>37982.639127729599</v>
          </cell>
        </row>
        <row r="8">
          <cell r="H8">
            <v>196777.055286797</v>
          </cell>
          <cell r="I8">
            <v>35821.2407237847</v>
          </cell>
          <cell r="J8">
            <v>115477.974460192</v>
          </cell>
          <cell r="K8">
            <v>39487.799546780901</v>
          </cell>
          <cell r="L8">
            <v>41161.088221750899</v>
          </cell>
          <cell r="M8">
            <v>39869.718243244803</v>
          </cell>
        </row>
        <row r="9">
          <cell r="H9">
            <v>197755.804037842</v>
          </cell>
          <cell r="I9">
            <v>35898.605770100599</v>
          </cell>
          <cell r="J9">
            <v>116050.36309701399</v>
          </cell>
          <cell r="K9">
            <v>39494.222896777697</v>
          </cell>
          <cell r="L9">
            <v>41795.349778234799</v>
          </cell>
          <cell r="M9">
            <v>39939.467722642301</v>
          </cell>
        </row>
        <row r="10">
          <cell r="H10">
            <v>199727.981359675</v>
          </cell>
          <cell r="I10">
            <v>36065.484482300199</v>
          </cell>
          <cell r="J10">
            <v>116073.086680236</v>
          </cell>
          <cell r="K10">
            <v>40483.705809240797</v>
          </cell>
          <cell r="L10">
            <v>43330.192185371401</v>
          </cell>
          <cell r="M10">
            <v>41244.8378153749</v>
          </cell>
        </row>
        <row r="11">
          <cell r="H11">
            <v>201529.36462486599</v>
          </cell>
          <cell r="I11">
            <v>36066.944200155202</v>
          </cell>
          <cell r="J11">
            <v>117695.468635464</v>
          </cell>
          <cell r="K11">
            <v>40959.6708777694</v>
          </cell>
          <cell r="L11">
            <v>44885.341976489799</v>
          </cell>
          <cell r="M11">
            <v>42091.643921635303</v>
          </cell>
        </row>
        <row r="12">
          <cell r="H12">
            <v>203766.343310553</v>
          </cell>
          <cell r="I12">
            <v>36328.892923621803</v>
          </cell>
          <cell r="J12">
            <v>118122.712943422</v>
          </cell>
          <cell r="K12">
            <v>41564.992686403202</v>
          </cell>
          <cell r="L12">
            <v>48310.406010445302</v>
          </cell>
          <cell r="M12">
            <v>44518.647787984497</v>
          </cell>
        </row>
        <row r="13">
          <cell r="H13">
            <v>206628.34355228601</v>
          </cell>
          <cell r="I13">
            <v>37897.5716533663</v>
          </cell>
          <cell r="J13">
            <v>117965.89974749699</v>
          </cell>
          <cell r="K13">
            <v>42538.029756381198</v>
          </cell>
          <cell r="L13">
            <v>48102.943710528998</v>
          </cell>
          <cell r="M13">
            <v>47233.889538127398</v>
          </cell>
        </row>
        <row r="14">
          <cell r="H14">
            <v>208368.46680046601</v>
          </cell>
          <cell r="I14">
            <v>37301.7242424824</v>
          </cell>
          <cell r="J14">
            <v>119176.18645024901</v>
          </cell>
          <cell r="K14">
            <v>44191.103848181701</v>
          </cell>
          <cell r="L14">
            <v>48686.4368070583</v>
          </cell>
          <cell r="M14">
            <v>46566.976579199298</v>
          </cell>
        </row>
        <row r="15">
          <cell r="H15">
            <v>210656.542551033</v>
          </cell>
          <cell r="I15">
            <v>37785.785518275603</v>
          </cell>
          <cell r="J15">
            <v>120180.527885246</v>
          </cell>
          <cell r="K15">
            <v>44976.629612534103</v>
          </cell>
          <cell r="L15">
            <v>50549.897432104503</v>
          </cell>
          <cell r="M15">
            <v>48913.028529249001</v>
          </cell>
        </row>
        <row r="16">
          <cell r="H16">
            <v>212663.160988421</v>
          </cell>
          <cell r="I16">
            <v>38137.624609007697</v>
          </cell>
          <cell r="J16">
            <v>121499.724013889</v>
          </cell>
          <cell r="K16">
            <v>46752.418964594901</v>
          </cell>
          <cell r="L16">
            <v>50202.6927949573</v>
          </cell>
          <cell r="M16">
            <v>50224.940190975598</v>
          </cell>
        </row>
        <row r="17">
          <cell r="H17">
            <v>214880.942986749</v>
          </cell>
          <cell r="I17">
            <v>39631.575202109801</v>
          </cell>
          <cell r="J17">
            <v>122968.772961614</v>
          </cell>
          <cell r="K17">
            <v>47923.896793633598</v>
          </cell>
          <cell r="L17">
            <v>50197.0996595385</v>
          </cell>
          <cell r="M17">
            <v>53971.542062619199</v>
          </cell>
        </row>
        <row r="18">
          <cell r="H18">
            <v>216997.37776799599</v>
          </cell>
          <cell r="I18">
            <v>39028.1937635871</v>
          </cell>
          <cell r="J18">
            <v>124074.03986082799</v>
          </cell>
          <cell r="K18">
            <v>48358.273684569103</v>
          </cell>
          <cell r="L18">
            <v>52634.674123258003</v>
          </cell>
          <cell r="M18">
            <v>53302.993711442701</v>
          </cell>
        </row>
        <row r="19">
          <cell r="H19">
            <v>219484.195693566</v>
          </cell>
          <cell r="I19">
            <v>39768.882855827003</v>
          </cell>
          <cell r="J19">
            <v>125147.985064252</v>
          </cell>
          <cell r="K19">
            <v>50487.014351422098</v>
          </cell>
          <cell r="L19">
            <v>53026.365699043497</v>
          </cell>
          <cell r="M19">
            <v>56216.9356197753</v>
          </cell>
        </row>
        <row r="20">
          <cell r="H20">
            <v>222470.974403128</v>
          </cell>
          <cell r="I20">
            <v>40317.689681641103</v>
          </cell>
          <cell r="J20">
            <v>124717.465284839</v>
          </cell>
          <cell r="K20">
            <v>51529.278946834602</v>
          </cell>
          <cell r="L20">
            <v>54436.180017512197</v>
          </cell>
          <cell r="M20">
            <v>57378.391194642201</v>
          </cell>
        </row>
        <row r="21">
          <cell r="H21">
            <v>224940.854075146</v>
          </cell>
          <cell r="I21">
            <v>41098.120769675697</v>
          </cell>
          <cell r="J21">
            <v>125926.11425186299</v>
          </cell>
          <cell r="K21">
            <v>52825.963308607803</v>
          </cell>
          <cell r="L21">
            <v>55558.937416644199</v>
          </cell>
          <cell r="M21">
            <v>60107.124930835002</v>
          </cell>
        </row>
        <row r="22">
          <cell r="H22">
            <v>228493.65275755001</v>
          </cell>
          <cell r="I22">
            <v>41645.938754362302</v>
          </cell>
          <cell r="J22">
            <v>127962.63862922799</v>
          </cell>
          <cell r="K22">
            <v>52896.907171530402</v>
          </cell>
          <cell r="L22">
            <v>57282.0533667989</v>
          </cell>
          <cell r="M22">
            <v>60754.004334719299</v>
          </cell>
        </row>
        <row r="23">
          <cell r="H23">
            <v>231381.907292288</v>
          </cell>
          <cell r="I23">
            <v>41577.661628885602</v>
          </cell>
          <cell r="J23">
            <v>128796.04139764899</v>
          </cell>
          <cell r="K23">
            <v>54237.3323080806</v>
          </cell>
          <cell r="L23">
            <v>59713.432357439196</v>
          </cell>
          <cell r="M23">
            <v>62052.751088845602</v>
          </cell>
        </row>
        <row r="24">
          <cell r="H24">
            <v>233741.40601199699</v>
          </cell>
          <cell r="I24">
            <v>41893.431562297003</v>
          </cell>
          <cell r="J24">
            <v>131627.89118776601</v>
          </cell>
          <cell r="K24">
            <v>55295.141525290499</v>
          </cell>
          <cell r="L24">
            <v>59794.403748655001</v>
          </cell>
          <cell r="M24">
            <v>62535.110032533303</v>
          </cell>
        </row>
        <row r="25">
          <cell r="H25">
            <v>236243.75066998901</v>
          </cell>
          <cell r="I25">
            <v>42179.865875589698</v>
          </cell>
          <cell r="J25">
            <v>131678.04684442599</v>
          </cell>
          <cell r="K25">
            <v>56131.376739036699</v>
          </cell>
          <cell r="L25">
            <v>61336.130014768401</v>
          </cell>
          <cell r="M25">
            <v>63394.590428719297</v>
          </cell>
        </row>
        <row r="26">
          <cell r="H26">
            <v>238642.20737286599</v>
          </cell>
          <cell r="I26">
            <v>42801.423155791097</v>
          </cell>
          <cell r="J26">
            <v>132661.91658282699</v>
          </cell>
          <cell r="K26">
            <v>56194.335901471699</v>
          </cell>
          <cell r="L26">
            <v>62499.846374813002</v>
          </cell>
          <cell r="M26">
            <v>64581.394583437599</v>
          </cell>
        </row>
        <row r="27">
          <cell r="H27">
            <v>240497.510745195</v>
          </cell>
          <cell r="I27">
            <v>43237.313742368598</v>
          </cell>
          <cell r="J27">
            <v>134033.110820823</v>
          </cell>
          <cell r="K27">
            <v>56839.466407359898</v>
          </cell>
          <cell r="L27">
            <v>62155.137136544901</v>
          </cell>
          <cell r="M27">
            <v>65047.971991927501</v>
          </cell>
        </row>
        <row r="28">
          <cell r="H28">
            <v>242809.30005073399</v>
          </cell>
          <cell r="I28">
            <v>43762.9063455207</v>
          </cell>
          <cell r="J28">
            <v>134689.84284762101</v>
          </cell>
          <cell r="K28">
            <v>56587.084433000004</v>
          </cell>
          <cell r="L28">
            <v>61978.910346736302</v>
          </cell>
          <cell r="M28">
            <v>64511.972182489801</v>
          </cell>
        </row>
        <row r="29">
          <cell r="H29">
            <v>244354.35107884699</v>
          </cell>
          <cell r="I29">
            <v>43999.945690106601</v>
          </cell>
          <cell r="J29">
            <v>136823.81250078199</v>
          </cell>
          <cell r="K29">
            <v>56951.889382951602</v>
          </cell>
          <cell r="L29">
            <v>60886.872168288603</v>
          </cell>
          <cell r="M29">
            <v>63682.419464450897</v>
          </cell>
        </row>
        <row r="30">
          <cell r="H30">
            <v>245509.539971052</v>
          </cell>
          <cell r="I30">
            <v>44351.5964301477</v>
          </cell>
          <cell r="J30">
            <v>137131.70681758501</v>
          </cell>
          <cell r="K30">
            <v>57772.855507339802</v>
          </cell>
          <cell r="L30">
            <v>61938.123482298099</v>
          </cell>
          <cell r="M30">
            <v>65831.406648559394</v>
          </cell>
        </row>
        <row r="31">
          <cell r="H31">
            <v>247567.82008177199</v>
          </cell>
          <cell r="I31">
            <v>44628.566121219301</v>
          </cell>
          <cell r="J31">
            <v>138441.48596579299</v>
          </cell>
          <cell r="K31">
            <v>57969.534006839298</v>
          </cell>
          <cell r="L31">
            <v>61931.841960981699</v>
          </cell>
          <cell r="M31">
            <v>65234.570247478398</v>
          </cell>
        </row>
        <row r="32">
          <cell r="H32">
            <v>248954.49843917901</v>
          </cell>
          <cell r="I32">
            <v>44844.321837725503</v>
          </cell>
          <cell r="J32">
            <v>140487.42732359201</v>
          </cell>
          <cell r="K32">
            <v>58772.831613542097</v>
          </cell>
          <cell r="L32">
            <v>62851.439472058097</v>
          </cell>
          <cell r="M32">
            <v>66838.3176559454</v>
          </cell>
        </row>
        <row r="33">
          <cell r="H33">
            <v>250898.16303420099</v>
          </cell>
          <cell r="I33">
            <v>45320.896173552603</v>
          </cell>
          <cell r="J33">
            <v>142416.88472776001</v>
          </cell>
          <cell r="K33">
            <v>59899.6157847836</v>
          </cell>
          <cell r="L33">
            <v>64353.7556455288</v>
          </cell>
          <cell r="M33">
            <v>69401.304387755299</v>
          </cell>
        </row>
        <row r="34">
          <cell r="H34">
            <v>253316.66333711401</v>
          </cell>
          <cell r="I34">
            <v>45180.056944379699</v>
          </cell>
          <cell r="J34">
            <v>143323.371453028</v>
          </cell>
          <cell r="K34">
            <v>60816.662366943303</v>
          </cell>
          <cell r="L34">
            <v>64164.363475426901</v>
          </cell>
          <cell r="M34">
            <v>67826.830500536104</v>
          </cell>
        </row>
        <row r="35">
          <cell r="H35">
            <v>254287.50756983401</v>
          </cell>
          <cell r="I35">
            <v>45597.347900223998</v>
          </cell>
          <cell r="J35">
            <v>145429.704315785</v>
          </cell>
          <cell r="K35">
            <v>61914.222878816101</v>
          </cell>
          <cell r="L35">
            <v>64846.381803563003</v>
          </cell>
          <cell r="M35">
            <v>70075.576611801502</v>
          </cell>
        </row>
        <row r="36">
          <cell r="H36">
            <v>256181.20431688</v>
          </cell>
          <cell r="I36">
            <v>46107.307396025499</v>
          </cell>
          <cell r="J36">
            <v>146680.93441172899</v>
          </cell>
          <cell r="K36">
            <v>63153.619454201602</v>
          </cell>
          <cell r="L36">
            <v>65003.936125896798</v>
          </cell>
          <cell r="M36">
            <v>71737.135136252007</v>
          </cell>
        </row>
        <row r="37">
          <cell r="H37">
            <v>258329.25717142201</v>
          </cell>
          <cell r="I37">
            <v>46688.745979050203</v>
          </cell>
          <cell r="J37">
            <v>147594.58623080599</v>
          </cell>
          <cell r="K37">
            <v>64613.137747483997</v>
          </cell>
          <cell r="L37">
            <v>65849.790297683096</v>
          </cell>
          <cell r="M37">
            <v>73788.571172739001</v>
          </cell>
        </row>
        <row r="38">
          <cell r="H38">
            <v>259840.71399665801</v>
          </cell>
          <cell r="I38">
            <v>47205.297749035701</v>
          </cell>
          <cell r="J38">
            <v>151098.72653713301</v>
          </cell>
          <cell r="K38">
            <v>63671.505635354501</v>
          </cell>
          <cell r="L38">
            <v>67074.256713198803</v>
          </cell>
          <cell r="M38">
            <v>75881.873250786899</v>
          </cell>
        </row>
        <row r="39">
          <cell r="H39">
            <v>262599.95550017903</v>
          </cell>
          <cell r="I39">
            <v>47449.776945914899</v>
          </cell>
          <cell r="J39">
            <v>153168.415062983</v>
          </cell>
          <cell r="K39">
            <v>64491.7599676073</v>
          </cell>
          <cell r="L39">
            <v>67989.207619465698</v>
          </cell>
          <cell r="M39">
            <v>77082.5782396172</v>
          </cell>
        </row>
        <row r="40">
          <cell r="H40">
            <v>264814.349847798</v>
          </cell>
          <cell r="I40">
            <v>47936.286780690702</v>
          </cell>
          <cell r="J40">
            <v>156359.74784532501</v>
          </cell>
          <cell r="K40">
            <v>66164.747018423703</v>
          </cell>
          <cell r="L40">
            <v>67803.429475326702</v>
          </cell>
          <cell r="M40">
            <v>78114.428978792406</v>
          </cell>
        </row>
        <row r="41">
          <cell r="H41">
            <v>266693.93138354999</v>
          </cell>
          <cell r="I41">
            <v>48497.760190472502</v>
          </cell>
          <cell r="J41">
            <v>157703.30529291599</v>
          </cell>
          <cell r="K41">
            <v>66920.119201423906</v>
          </cell>
          <cell r="L41">
            <v>68123.184724803607</v>
          </cell>
          <cell r="M41">
            <v>79753.010242151897</v>
          </cell>
        </row>
        <row r="42">
          <cell r="H42">
            <v>269076.861354005</v>
          </cell>
          <cell r="I42">
            <v>48801.381504316298</v>
          </cell>
          <cell r="J42">
            <v>160258.58246202199</v>
          </cell>
          <cell r="K42">
            <v>69256.800756242606</v>
          </cell>
          <cell r="L42">
            <v>68008.740569312693</v>
          </cell>
          <cell r="M42">
            <v>80473.972914892001</v>
          </cell>
        </row>
        <row r="43">
          <cell r="H43">
            <v>271465.155104751</v>
          </cell>
          <cell r="I43">
            <v>49691.432694495597</v>
          </cell>
          <cell r="J43">
            <v>161592.10877828201</v>
          </cell>
          <cell r="K43">
            <v>71054.707326835705</v>
          </cell>
          <cell r="L43">
            <v>69078.578302559807</v>
          </cell>
          <cell r="M43">
            <v>83782.289663944393</v>
          </cell>
        </row>
        <row r="44">
          <cell r="H44">
            <v>274064.33011221199</v>
          </cell>
          <cell r="I44">
            <v>49950.320719233998</v>
          </cell>
          <cell r="J44">
            <v>162075.85496884401</v>
          </cell>
          <cell r="K44">
            <v>72133.956411997395</v>
          </cell>
          <cell r="L44">
            <v>69125.732736551494</v>
          </cell>
          <cell r="M44">
            <v>83899.1384400979</v>
          </cell>
        </row>
        <row r="45">
          <cell r="H45">
            <v>276770.21611704701</v>
          </cell>
          <cell r="I45">
            <v>50456.889902597999</v>
          </cell>
          <cell r="J45">
            <v>164023.73689994801</v>
          </cell>
          <cell r="K45">
            <v>72049.982160788204</v>
          </cell>
          <cell r="L45">
            <v>69756.208170598198</v>
          </cell>
          <cell r="M45">
            <v>84311.584365163304</v>
          </cell>
        </row>
        <row r="46">
          <cell r="H46">
            <v>279989.331204488</v>
          </cell>
          <cell r="I46">
            <v>50954.559515813802</v>
          </cell>
          <cell r="J46">
            <v>165402.50566568499</v>
          </cell>
          <cell r="K46">
            <v>73851.453432317896</v>
          </cell>
          <cell r="L46">
            <v>70524.618928894401</v>
          </cell>
          <cell r="M46">
            <v>87075.806113148006</v>
          </cell>
        </row>
        <row r="47">
          <cell r="H47">
            <v>282509.46102871001</v>
          </cell>
          <cell r="I47">
            <v>51481.470573802602</v>
          </cell>
          <cell r="J47">
            <v>167143.41874420401</v>
          </cell>
          <cell r="K47">
            <v>75095.826812392494</v>
          </cell>
          <cell r="L47">
            <v>72083.9850836361</v>
          </cell>
          <cell r="M47">
            <v>89427.909014517107</v>
          </cell>
        </row>
        <row r="48">
          <cell r="H48">
            <v>285176.38905037602</v>
          </cell>
          <cell r="I48">
            <v>51988.510633894199</v>
          </cell>
          <cell r="J48">
            <v>169349.85820331401</v>
          </cell>
          <cell r="K48">
            <v>75487.857811526206</v>
          </cell>
          <cell r="L48">
            <v>71754.936624540394</v>
          </cell>
          <cell r="M48">
            <v>89703.554377997498</v>
          </cell>
        </row>
        <row r="49">
          <cell r="H49">
            <v>287830.33107765298</v>
          </cell>
          <cell r="I49">
            <v>52480.529726380802</v>
          </cell>
          <cell r="J49">
            <v>172398.29854341599</v>
          </cell>
          <cell r="K49">
            <v>76703.684882812595</v>
          </cell>
          <cell r="L49">
            <v>74526.808489825504</v>
          </cell>
          <cell r="M49">
            <v>93566.350868895301</v>
          </cell>
        </row>
        <row r="50">
          <cell r="H50">
            <v>290446.72664289101</v>
          </cell>
          <cell r="I50">
            <v>52861.892787922501</v>
          </cell>
          <cell r="J50">
            <v>173497.014499721</v>
          </cell>
          <cell r="K50">
            <v>79661.502660242797</v>
          </cell>
          <cell r="L50">
            <v>76648.069633556603</v>
          </cell>
          <cell r="M50">
            <v>96055.254331849297</v>
          </cell>
        </row>
        <row r="51">
          <cell r="H51">
            <v>292995.65149815002</v>
          </cell>
          <cell r="I51">
            <v>53286.717771405602</v>
          </cell>
          <cell r="J51">
            <v>176065.18883768201</v>
          </cell>
          <cell r="K51">
            <v>80132.548326673903</v>
          </cell>
          <cell r="L51">
            <v>77342.048666665098</v>
          </cell>
          <cell r="M51">
            <v>96918.414360594397</v>
          </cell>
        </row>
        <row r="52">
          <cell r="H52">
            <v>295192.260679539</v>
          </cell>
          <cell r="I52">
            <v>53638.839388174201</v>
          </cell>
          <cell r="J52">
            <v>179002.26314830201</v>
          </cell>
          <cell r="K52">
            <v>80065.341372462601</v>
          </cell>
          <cell r="L52">
            <v>78671.838124527305</v>
          </cell>
          <cell r="M52">
            <v>98130.240016714306</v>
          </cell>
        </row>
        <row r="53">
          <cell r="H53">
            <v>296994.20855318097</v>
          </cell>
          <cell r="I53">
            <v>54139.192998736202</v>
          </cell>
          <cell r="J53">
            <v>180179.59041953401</v>
          </cell>
          <cell r="K53">
            <v>80519.768988633907</v>
          </cell>
          <cell r="L53">
            <v>78372.820500218295</v>
          </cell>
          <cell r="M53">
            <v>98310.950860170793</v>
          </cell>
        </row>
        <row r="54">
          <cell r="H54">
            <v>297549.78326966701</v>
          </cell>
          <cell r="I54">
            <v>54124.925433895303</v>
          </cell>
          <cell r="J54">
            <v>183117.89303194999</v>
          </cell>
          <cell r="K54">
            <v>80019.304494022697</v>
          </cell>
          <cell r="L54">
            <v>79061.464542619695</v>
          </cell>
          <cell r="M54">
            <v>97887.793115877896</v>
          </cell>
        </row>
        <row r="55">
          <cell r="H55">
            <v>297654.51813745999</v>
          </cell>
          <cell r="I55">
            <v>53623.677157551101</v>
          </cell>
          <cell r="J55">
            <v>185157.69288076999</v>
          </cell>
          <cell r="K55">
            <v>79756.004546746</v>
          </cell>
          <cell r="L55">
            <v>77661.803916142002</v>
          </cell>
          <cell r="M55">
            <v>94647.018066687597</v>
          </cell>
        </row>
        <row r="56">
          <cell r="H56">
            <v>297024.97971380001</v>
          </cell>
          <cell r="I56">
            <v>52820.549811254597</v>
          </cell>
          <cell r="J56">
            <v>186547.31164570199</v>
          </cell>
          <cell r="K56">
            <v>76785.282666730694</v>
          </cell>
          <cell r="L56">
            <v>78575.980388273994</v>
          </cell>
          <cell r="M56">
            <v>91147.523963788495</v>
          </cell>
        </row>
        <row r="57">
          <cell r="H57">
            <v>292418.90396472497</v>
          </cell>
          <cell r="I57">
            <v>51961.152696030797</v>
          </cell>
          <cell r="J57">
            <v>189001.868067556</v>
          </cell>
          <cell r="K57">
            <v>72337.804495183998</v>
          </cell>
          <cell r="L57">
            <v>72960.644524344098</v>
          </cell>
          <cell r="M57">
            <v>84283.046770427405</v>
          </cell>
        </row>
        <row r="58">
          <cell r="H58">
            <v>284599.35921272502</v>
          </cell>
          <cell r="I58">
            <v>51429.815396804101</v>
          </cell>
          <cell r="J58">
            <v>190689.96416885799</v>
          </cell>
          <cell r="K58">
            <v>65677.169405620196</v>
          </cell>
          <cell r="L58">
            <v>65879.4769395209</v>
          </cell>
          <cell r="M58">
            <v>72477.068359074503</v>
          </cell>
        </row>
        <row r="59">
          <cell r="H59">
            <v>284785.68000179098</v>
          </cell>
          <cell r="I59">
            <v>50986.955834660701</v>
          </cell>
          <cell r="J59">
            <v>192339.982914491</v>
          </cell>
          <cell r="K59">
            <v>62066.833408766601</v>
          </cell>
          <cell r="L59">
            <v>67456.569031128194</v>
          </cell>
          <cell r="M59">
            <v>73290.921311528102</v>
          </cell>
        </row>
        <row r="60">
          <cell r="H60">
            <v>285346.90080279298</v>
          </cell>
          <cell r="I60">
            <v>51231.529206885301</v>
          </cell>
          <cell r="J60">
            <v>194289.912015254</v>
          </cell>
          <cell r="K60">
            <v>62612.594288386397</v>
          </cell>
          <cell r="L60">
            <v>70614.023047356794</v>
          </cell>
          <cell r="M60">
            <v>77504.182361273997</v>
          </cell>
        </row>
        <row r="61">
          <cell r="H61">
            <v>285277.45396323298</v>
          </cell>
          <cell r="I61">
            <v>51246.361823799198</v>
          </cell>
          <cell r="J61">
            <v>194650.62330927499</v>
          </cell>
          <cell r="K61">
            <v>61990.0804035771</v>
          </cell>
          <cell r="L61">
            <v>71032.647721389396</v>
          </cell>
          <cell r="M61">
            <v>77346.939396583199</v>
          </cell>
        </row>
        <row r="62">
          <cell r="H62">
            <v>285023.09785573598</v>
          </cell>
          <cell r="I62">
            <v>51539.670937312403</v>
          </cell>
          <cell r="J62">
            <v>194127.57146124801</v>
          </cell>
          <cell r="K62">
            <v>60620.058490812902</v>
          </cell>
          <cell r="L62">
            <v>71706.147274041607</v>
          </cell>
          <cell r="M62">
            <v>77664.450801624596</v>
          </cell>
        </row>
        <row r="63">
          <cell r="H63">
            <v>285374.56661692698</v>
          </cell>
          <cell r="I63">
            <v>51710.175400313099</v>
          </cell>
          <cell r="J63">
            <v>194018.86675232399</v>
          </cell>
          <cell r="K63">
            <v>60578.946754729797</v>
          </cell>
          <cell r="L63">
            <v>73465.575580299497</v>
          </cell>
          <cell r="M63">
            <v>79843.447433492503</v>
          </cell>
        </row>
        <row r="64">
          <cell r="H64">
            <v>285195.02112928301</v>
          </cell>
          <cell r="I64">
            <v>51211.658208988003</v>
          </cell>
          <cell r="J64">
            <v>194583.27142747401</v>
          </cell>
          <cell r="K64">
            <v>60239.783542432997</v>
          </cell>
          <cell r="L64">
            <v>75833.795164826806</v>
          </cell>
          <cell r="M64">
            <v>79908.045427307297</v>
          </cell>
        </row>
        <row r="65">
          <cell r="H65">
            <v>285489.46443685098</v>
          </cell>
          <cell r="I65">
            <v>51288.364027885596</v>
          </cell>
          <cell r="J65">
            <v>194649.80444141099</v>
          </cell>
          <cell r="K65">
            <v>59507.923460940197</v>
          </cell>
          <cell r="L65">
            <v>78666.847326768999</v>
          </cell>
          <cell r="M65">
            <v>81836.8270451586</v>
          </cell>
        </row>
        <row r="66">
          <cell r="H66">
            <v>285265.03257729497</v>
          </cell>
          <cell r="I66">
            <v>50800.488650600302</v>
          </cell>
          <cell r="J66">
            <v>196520.50807634799</v>
          </cell>
          <cell r="K66">
            <v>57869.664978024201</v>
          </cell>
          <cell r="L66">
            <v>80876.221865404397</v>
          </cell>
          <cell r="M66">
            <v>81685.062644500198</v>
          </cell>
        </row>
        <row r="67">
          <cell r="H67">
            <v>284526.52472245402</v>
          </cell>
          <cell r="I67">
            <v>50284.125231305698</v>
          </cell>
          <cell r="J67">
            <v>196333.60148642701</v>
          </cell>
          <cell r="K67">
            <v>56642.093336502403</v>
          </cell>
          <cell r="L67">
            <v>80906.338748428301</v>
          </cell>
          <cell r="M67">
            <v>79094.683092528299</v>
          </cell>
        </row>
        <row r="68">
          <cell r="H68">
            <v>282790.35373343702</v>
          </cell>
          <cell r="I68">
            <v>50074.773438292497</v>
          </cell>
          <cell r="J68">
            <v>195230.99590777</v>
          </cell>
          <cell r="K68">
            <v>56620.917520471899</v>
          </cell>
          <cell r="L68">
            <v>81025.945798151894</v>
          </cell>
          <cell r="M68">
            <v>79288.885922034693</v>
          </cell>
        </row>
        <row r="69">
          <cell r="H69">
            <v>281198.15789960598</v>
          </cell>
          <cell r="I69">
            <v>49617.928837344502</v>
          </cell>
          <cell r="J69">
            <v>193638.50262957101</v>
          </cell>
          <cell r="K69">
            <v>55033.976954420301</v>
          </cell>
          <cell r="L69">
            <v>81454.6381159382</v>
          </cell>
          <cell r="M69">
            <v>77295.342771143798</v>
          </cell>
        </row>
        <row r="70">
          <cell r="H70">
            <v>278551.555782201</v>
          </cell>
          <cell r="I70">
            <v>49579.316945695602</v>
          </cell>
          <cell r="J70">
            <v>191120.48394827</v>
          </cell>
          <cell r="K70">
            <v>54674.384159783302</v>
          </cell>
          <cell r="L70">
            <v>79954.128955448905</v>
          </cell>
          <cell r="M70">
            <v>76421.879771233303</v>
          </cell>
        </row>
        <row r="71">
          <cell r="H71">
            <v>275851.59816610999</v>
          </cell>
          <cell r="I71">
            <v>48814.2835266478</v>
          </cell>
          <cell r="J71">
            <v>188471.65112572099</v>
          </cell>
          <cell r="K71">
            <v>52973.987371491799</v>
          </cell>
          <cell r="L71">
            <v>80640.707840157207</v>
          </cell>
          <cell r="M71">
            <v>74753.6979081764</v>
          </cell>
        </row>
        <row r="72">
          <cell r="H72">
            <v>274584.89910469198</v>
          </cell>
          <cell r="I72">
            <v>48048.637967854404</v>
          </cell>
          <cell r="J72">
            <v>186608.31730155801</v>
          </cell>
          <cell r="K72">
            <v>51524.3939862919</v>
          </cell>
          <cell r="L72">
            <v>83727.688350109805</v>
          </cell>
          <cell r="M72">
            <v>74527.359620987496</v>
          </cell>
        </row>
        <row r="73">
          <cell r="H73">
            <v>272308.11552315898</v>
          </cell>
          <cell r="I73">
            <v>47478.029549560502</v>
          </cell>
          <cell r="J73">
            <v>185198.22684002999</v>
          </cell>
          <cell r="K73">
            <v>50743.041390346698</v>
          </cell>
          <cell r="L73">
            <v>83006.001784619293</v>
          </cell>
          <cell r="M73">
            <v>73048.801489141304</v>
          </cell>
        </row>
        <row r="74">
          <cell r="H74">
            <v>271559.72702041297</v>
          </cell>
          <cell r="I74">
            <v>46886.137503186903</v>
          </cell>
          <cell r="J74">
            <v>183389.55244577801</v>
          </cell>
          <cell r="K74">
            <v>51002.719234095297</v>
          </cell>
          <cell r="L74">
            <v>83743.607273993897</v>
          </cell>
          <cell r="M74">
            <v>72531.036303274203</v>
          </cell>
        </row>
        <row r="75">
          <cell r="H75">
            <v>271281.09274949302</v>
          </cell>
          <cell r="I75">
            <v>46994.957114894903</v>
          </cell>
          <cell r="J75">
            <v>183734.091099488</v>
          </cell>
          <cell r="K75">
            <v>50396.163269742799</v>
          </cell>
          <cell r="L75">
            <v>85366.821220746395</v>
          </cell>
          <cell r="M75">
            <v>73839.186562829302</v>
          </cell>
        </row>
        <row r="76">
          <cell r="H76">
            <v>271110.01638862398</v>
          </cell>
          <cell r="I76">
            <v>46976.074958125202</v>
          </cell>
          <cell r="J76">
            <v>183404.29206732701</v>
          </cell>
          <cell r="K76">
            <v>51445.1382281099</v>
          </cell>
          <cell r="L76">
            <v>86135.059882568195</v>
          </cell>
          <cell r="M76">
            <v>75249.794146751301</v>
          </cell>
        </row>
        <row r="77">
          <cell r="H77">
            <v>271625.78620926302</v>
          </cell>
          <cell r="I77">
            <v>47348.350098827497</v>
          </cell>
          <cell r="J77">
            <v>183803.69486791399</v>
          </cell>
          <cell r="K77">
            <v>52140.851897690503</v>
          </cell>
          <cell r="L77">
            <v>86123.959659967906</v>
          </cell>
          <cell r="M77">
            <v>76298.652965310699</v>
          </cell>
        </row>
        <row r="78">
          <cell r="H78">
            <v>272652.52667870402</v>
          </cell>
          <cell r="I78">
            <v>47399.769837462401</v>
          </cell>
          <cell r="J78">
            <v>183170.505292202</v>
          </cell>
          <cell r="K78">
            <v>53809.975754094201</v>
          </cell>
          <cell r="L78">
            <v>86949.592496009602</v>
          </cell>
          <cell r="M78">
            <v>77891.852093775</v>
          </cell>
        </row>
        <row r="79">
          <cell r="H79">
            <v>274125.02552077099</v>
          </cell>
          <cell r="I79">
            <v>47718.647557274802</v>
          </cell>
          <cell r="J79">
            <v>182380.093086632</v>
          </cell>
          <cell r="K79">
            <v>54051.319210094996</v>
          </cell>
          <cell r="L79">
            <v>88145.576945008404</v>
          </cell>
          <cell r="M79">
            <v>79032.129339024104</v>
          </cell>
        </row>
        <row r="80">
          <cell r="H80">
            <v>276316.835530321</v>
          </cell>
          <cell r="I80">
            <v>48023.210624573403</v>
          </cell>
          <cell r="J80">
            <v>182365.55818204899</v>
          </cell>
          <cell r="K80">
            <v>53958.074440347198</v>
          </cell>
          <cell r="L80">
            <v>90639.082762915205</v>
          </cell>
          <cell r="M80">
            <v>80634.486664079901</v>
          </cell>
        </row>
        <row r="81">
          <cell r="H81">
            <v>278988.28041960101</v>
          </cell>
          <cell r="I81">
            <v>48306.254625428701</v>
          </cell>
          <cell r="J81">
            <v>182477.947796361</v>
          </cell>
          <cell r="K81">
            <v>54933.993120421997</v>
          </cell>
          <cell r="L81">
            <v>91017.0926689841</v>
          </cell>
          <cell r="M81">
            <v>80626.391472449905</v>
          </cell>
        </row>
        <row r="82">
          <cell r="H82">
            <v>282384.68256088102</v>
          </cell>
          <cell r="I82">
            <v>48739.5553900054</v>
          </cell>
          <cell r="J82">
            <v>184330.63633829399</v>
          </cell>
          <cell r="K82">
            <v>56966.905900906502</v>
          </cell>
          <cell r="L82">
            <v>91512.558418846296</v>
          </cell>
          <cell r="M82">
            <v>82139.456380738906</v>
          </cell>
        </row>
        <row r="83">
          <cell r="H83">
            <v>285546.77219470002</v>
          </cell>
          <cell r="I83">
            <v>49017.513922204598</v>
          </cell>
          <cell r="J83">
            <v>185864.37584726201</v>
          </cell>
          <cell r="K83">
            <v>59133.319888607497</v>
          </cell>
          <cell r="L83">
            <v>91987.974929438293</v>
          </cell>
          <cell r="M83">
            <v>82767.610543378105</v>
          </cell>
        </row>
        <row r="84">
          <cell r="H84">
            <v>288165.70849797101</v>
          </cell>
          <cell r="I84">
            <v>49596.739384610402</v>
          </cell>
          <cell r="J84">
            <v>186679.763522678</v>
          </cell>
          <cell r="K84">
            <v>59032.520937809</v>
          </cell>
          <cell r="L84">
            <v>94032.567093814097</v>
          </cell>
          <cell r="M84">
            <v>84999.1032664222</v>
          </cell>
        </row>
        <row r="85">
          <cell r="H85">
            <v>290739.19382087898</v>
          </cell>
          <cell r="I85">
            <v>49725.571257233903</v>
          </cell>
          <cell r="J85">
            <v>187603.651190053</v>
          </cell>
          <cell r="K85">
            <v>59824.091195053799</v>
          </cell>
          <cell r="L85">
            <v>94742.723195518396</v>
          </cell>
          <cell r="M85">
            <v>84480.520384430798</v>
          </cell>
        </row>
        <row r="86">
          <cell r="H86">
            <v>292759.36286110798</v>
          </cell>
          <cell r="I86">
            <v>49953.616856326</v>
          </cell>
          <cell r="J86">
            <v>187836.61909731501</v>
          </cell>
          <cell r="K86">
            <v>59410.511263044398</v>
          </cell>
          <cell r="L86">
            <v>95812.216735816706</v>
          </cell>
          <cell r="M86">
            <v>84244.206204526199</v>
          </cell>
        </row>
        <row r="87">
          <cell r="H87">
            <v>293727.66635579598</v>
          </cell>
          <cell r="I87">
            <v>50472.099220893899</v>
          </cell>
          <cell r="J87">
            <v>187662.404959284</v>
          </cell>
          <cell r="K87">
            <v>59386.407914843701</v>
          </cell>
          <cell r="L87">
            <v>97558.479661781195</v>
          </cell>
          <cell r="M87">
            <v>86216.652795411806</v>
          </cell>
        </row>
        <row r="88">
          <cell r="H88">
            <v>296049.61861346598</v>
          </cell>
          <cell r="I88">
            <v>50823.7028732623</v>
          </cell>
          <cell r="J88">
            <v>187537.732327014</v>
          </cell>
          <cell r="K88">
            <v>58974.653385246304</v>
          </cell>
          <cell r="L88">
            <v>98482.981922378603</v>
          </cell>
          <cell r="M88">
            <v>85500.596299416997</v>
          </cell>
        </row>
        <row r="89">
          <cell r="H89">
            <v>297732.15179957001</v>
          </cell>
          <cell r="I89">
            <v>50977.632475457598</v>
          </cell>
          <cell r="J89">
            <v>187996.70776469499</v>
          </cell>
          <cell r="K89">
            <v>60141.9063835454</v>
          </cell>
          <cell r="L89">
            <v>100496.596721358</v>
          </cell>
          <cell r="M89">
            <v>87272.053182965101</v>
          </cell>
        </row>
        <row r="90">
          <cell r="H90">
            <v>299840.11745404103</v>
          </cell>
          <cell r="I90">
            <v>51515.7033118865</v>
          </cell>
          <cell r="J90">
            <v>188816.59921336299</v>
          </cell>
          <cell r="K90">
            <v>62363.357976044601</v>
          </cell>
          <cell r="L90">
            <v>101977.400835526</v>
          </cell>
          <cell r="M90">
            <v>89738.715311339794</v>
          </cell>
        </row>
        <row r="91">
          <cell r="H91">
            <v>302975.38818640303</v>
          </cell>
          <cell r="I91">
            <v>51951.075934063898</v>
          </cell>
          <cell r="J91">
            <v>188926.532224083</v>
          </cell>
          <cell r="K91">
            <v>62838.932706950603</v>
          </cell>
          <cell r="L91">
            <v>103035.708104987</v>
          </cell>
          <cell r="M91">
            <v>89837.820081597398</v>
          </cell>
        </row>
        <row r="92">
          <cell r="H92">
            <v>304889.41083771002</v>
          </cell>
          <cell r="I92">
            <v>52352.969220921303</v>
          </cell>
          <cell r="J92">
            <v>190270.089671675</v>
          </cell>
          <cell r="K92">
            <v>64826.589284240501</v>
          </cell>
          <cell r="L92">
            <v>103998.157638195</v>
          </cell>
          <cell r="M92">
            <v>92244.872162515196</v>
          </cell>
        </row>
        <row r="93">
          <cell r="H93">
            <v>306745.27881849097</v>
          </cell>
          <cell r="I93">
            <v>52714.414196892903</v>
          </cell>
          <cell r="J93">
            <v>190184.92741383601</v>
          </cell>
          <cell r="K93">
            <v>66279.517760010698</v>
          </cell>
          <cell r="L93">
            <v>105339.477559843</v>
          </cell>
          <cell r="M93">
            <v>94394.922351585206</v>
          </cell>
        </row>
        <row r="94">
          <cell r="H94">
            <v>308057.14655604598</v>
          </cell>
          <cell r="I94">
            <v>52889.721602513397</v>
          </cell>
          <cell r="J94">
            <v>191536.4688231</v>
          </cell>
          <cell r="K94">
            <v>65158.336081706402</v>
          </cell>
          <cell r="L94">
            <v>105468.20572271101</v>
          </cell>
          <cell r="M94">
            <v>94786.435255870107</v>
          </cell>
        </row>
        <row r="95">
          <cell r="H95">
            <v>310065.741123015</v>
          </cell>
          <cell r="I95">
            <v>53130.151259536702</v>
          </cell>
          <cell r="J95">
            <v>192790.76967353301</v>
          </cell>
          <cell r="K95">
            <v>68747.088704129405</v>
          </cell>
          <cell r="L95">
            <v>104878.689249577</v>
          </cell>
          <cell r="M95">
            <v>95770.532541389897</v>
          </cell>
        </row>
        <row r="96">
          <cell r="H96">
            <v>311796.83063596801</v>
          </cell>
          <cell r="I96">
            <v>53125.489579935202</v>
          </cell>
          <cell r="J96">
            <v>194252.24409351801</v>
          </cell>
          <cell r="K96">
            <v>68570.099293538704</v>
          </cell>
          <cell r="L96">
            <v>104839.10706046</v>
          </cell>
          <cell r="M96">
            <v>94894.534683494305</v>
          </cell>
        </row>
        <row r="97">
          <cell r="H97">
            <v>313621.64515190403</v>
          </cell>
          <cell r="I97">
            <v>53171.823849913802</v>
          </cell>
          <cell r="J97">
            <v>195559.36192116901</v>
          </cell>
          <cell r="K97">
            <v>68482.233146621104</v>
          </cell>
          <cell r="L97">
            <v>106047.568503854</v>
          </cell>
          <cell r="M97">
            <v>95004.678351429102</v>
          </cell>
        </row>
        <row r="98">
          <cell r="H98">
            <v>315544.41923421301</v>
          </cell>
          <cell r="I98">
            <v>53072.892649481801</v>
          </cell>
          <cell r="J98">
            <v>196686.738252707</v>
          </cell>
          <cell r="K98">
            <v>70393.171160276499</v>
          </cell>
          <cell r="L98">
            <v>107792.540706261</v>
          </cell>
          <cell r="M98">
            <v>96018.376236646203</v>
          </cell>
        </row>
        <row r="99">
          <cell r="H99">
            <v>316454.28575414798</v>
          </cell>
          <cell r="I99">
            <v>52593.775579326597</v>
          </cell>
          <cell r="J99">
            <v>197441.32498923401</v>
          </cell>
          <cell r="K99">
            <v>70389.0439139425</v>
          </cell>
          <cell r="L99">
            <v>110190.705077337</v>
          </cell>
          <cell r="M99">
            <v>96035.956703317395</v>
          </cell>
        </row>
        <row r="100">
          <cell r="H100">
            <v>317060.67523128801</v>
          </cell>
          <cell r="I100">
            <v>54456.234299311698</v>
          </cell>
          <cell r="J100">
            <v>198078.199470333</v>
          </cell>
          <cell r="K100">
            <v>71500.260502350095</v>
          </cell>
          <cell r="L100">
            <v>106488.30757485</v>
          </cell>
          <cell r="M100">
            <v>98138.662286794002</v>
          </cell>
        </row>
        <row r="101">
          <cell r="H101">
            <v>318869.96301480301</v>
          </cell>
          <cell r="I101">
            <v>54312.475634428803</v>
          </cell>
          <cell r="J101">
            <v>198870.65884556199</v>
          </cell>
          <cell r="K101">
            <v>70536.310262617699</v>
          </cell>
          <cell r="L101">
            <v>106302.013141288</v>
          </cell>
          <cell r="M101">
            <v>95278.115935374095</v>
          </cell>
        </row>
        <row r="102">
          <cell r="H102">
            <v>302360.81188671401</v>
          </cell>
          <cell r="I102">
            <v>51106.9352248086</v>
          </cell>
          <cell r="J102">
            <v>200922.53699537399</v>
          </cell>
          <cell r="K102">
            <v>68417.046763633101</v>
          </cell>
          <cell r="L102">
            <v>98434.708861303094</v>
          </cell>
          <cell r="M102">
            <v>91074.094851831993</v>
          </cell>
        </row>
        <row r="103">
          <cell r="H103">
            <v>248569.717779336</v>
          </cell>
          <cell r="I103">
            <v>39943.201420319798</v>
          </cell>
          <cell r="J103">
            <v>202780.95761235399</v>
          </cell>
          <cell r="K103">
            <v>53519.019238198598</v>
          </cell>
          <cell r="L103">
            <v>68024.057155536197</v>
          </cell>
          <cell r="M103">
            <v>65334.574483472701</v>
          </cell>
        </row>
        <row r="104">
          <cell r="H104">
            <v>288097.95548376499</v>
          </cell>
          <cell r="I104">
            <v>48454.345356204001</v>
          </cell>
          <cell r="J104">
            <v>205744.03097764999</v>
          </cell>
          <cell r="K104">
            <v>65165.8443406839</v>
          </cell>
          <cell r="L104">
            <v>86763.900400107799</v>
          </cell>
          <cell r="M104">
            <v>82846.763528204305</v>
          </cell>
        </row>
        <row r="105">
          <cell r="H105">
            <v>290188.41827623302</v>
          </cell>
          <cell r="I105">
            <v>48846.2089687673</v>
          </cell>
          <cell r="J105">
            <v>209420.33825234999</v>
          </cell>
          <cell r="K105">
            <v>65469.481089057503</v>
          </cell>
          <cell r="L105">
            <v>90970.282427941202</v>
          </cell>
          <cell r="M105">
            <v>87822.9350618639</v>
          </cell>
        </row>
        <row r="106">
          <cell r="H106">
            <v>293675.72237823799</v>
          </cell>
          <cell r="I106">
            <v>48821.393765232002</v>
          </cell>
          <cell r="J106">
            <v>211082.23058200901</v>
          </cell>
          <cell r="K106">
            <v>64915.643664803698</v>
          </cell>
          <cell r="L106">
            <v>92553.139751441602</v>
          </cell>
          <cell r="M106">
            <v>89125.116139712001</v>
          </cell>
        </row>
        <row r="107">
          <cell r="H107">
            <v>297701.66294317797</v>
          </cell>
          <cell r="I107">
            <v>50236.095805108402</v>
          </cell>
          <cell r="J107">
            <v>212396.104069536</v>
          </cell>
          <cell r="K107">
            <v>63922.188493003901</v>
          </cell>
          <cell r="L107">
            <v>95002.158630710197</v>
          </cell>
          <cell r="M107">
            <v>92565.163734379006</v>
          </cell>
        </row>
        <row r="108">
          <cell r="H108">
            <v>303569.92088605702</v>
          </cell>
          <cell r="I108">
            <v>51052.737313482001</v>
          </cell>
          <cell r="J108">
            <v>213043.00968196799</v>
          </cell>
          <cell r="K108">
            <v>63935.769946169603</v>
          </cell>
          <cell r="L108">
            <v>99413.0773183946</v>
          </cell>
          <cell r="M108">
            <v>94941.143362575807</v>
          </cell>
        </row>
        <row r="109">
          <cell r="H109">
            <v>309736.85669989302</v>
          </cell>
          <cell r="I109">
            <v>51880.256074259101</v>
          </cell>
          <cell r="J109">
            <v>212046.03805774599</v>
          </cell>
          <cell r="K109">
            <v>64735.784124634498</v>
          </cell>
          <cell r="L109">
            <v>103304.09255684901</v>
          </cell>
          <cell r="M109">
            <v>99447.139624798801</v>
          </cell>
        </row>
        <row r="110">
          <cell r="H110">
            <v>314605.19307478803</v>
          </cell>
          <cell r="I110">
            <v>52382.916980785601</v>
          </cell>
          <cell r="J110">
            <v>212899.912522762</v>
          </cell>
          <cell r="K110">
            <v>66297.4560698766</v>
          </cell>
          <cell r="L110">
            <v>105826.338485984</v>
          </cell>
          <cell r="M110">
            <v>100077.91041503601</v>
          </cell>
        </row>
        <row r="111">
          <cell r="H111">
            <v>319957.39889280201</v>
          </cell>
          <cell r="I111">
            <v>53209.493988107897</v>
          </cell>
          <cell r="J111">
            <v>211320.11169645301</v>
          </cell>
          <cell r="K111">
            <v>65972.080960075094</v>
          </cell>
          <cell r="L111">
            <v>112845.55134001499</v>
          </cell>
          <cell r="M111">
            <v>103783.545710855</v>
          </cell>
        </row>
        <row r="112">
          <cell r="H112">
            <v>322567.583765071</v>
          </cell>
          <cell r="I112">
            <v>53486.228240815697</v>
          </cell>
          <cell r="J112">
            <v>213567.085114824</v>
          </cell>
          <cell r="K112">
            <v>66558.505835563701</v>
          </cell>
          <cell r="L112">
            <v>113071.944252118</v>
          </cell>
          <cell r="M112">
            <v>101996.225522497</v>
          </cell>
        </row>
        <row r="113">
          <cell r="H113">
            <v>324296.41484421602</v>
          </cell>
          <cell r="I113">
            <v>52754.768332433297</v>
          </cell>
          <cell r="J113">
            <v>217263.04521825601</v>
          </cell>
          <cell r="K113">
            <v>65435.269144481201</v>
          </cell>
          <cell r="L113">
            <v>114038.610148949</v>
          </cell>
          <cell r="M113">
            <v>99297.583003675696</v>
          </cell>
        </row>
        <row r="114">
          <cell r="H114">
            <v>325950.71760773601</v>
          </cell>
          <cell r="I114">
            <v>53344.494345860701</v>
          </cell>
          <cell r="J114">
            <v>219600.91296951199</v>
          </cell>
          <cell r="K114">
            <v>68358.134483903894</v>
          </cell>
          <cell r="L114">
            <v>114819.411853403</v>
          </cell>
          <cell r="M114">
            <v>101451.067516468</v>
          </cell>
        </row>
        <row r="115">
          <cell r="H115">
            <v>326420.189535335</v>
          </cell>
          <cell r="I115">
            <v>53634.130620900003</v>
          </cell>
          <cell r="J115">
            <v>222837.488201331</v>
          </cell>
          <cell r="K115">
            <v>68828.187085500802</v>
          </cell>
          <cell r="L115">
            <v>114144.01923953299</v>
          </cell>
          <cell r="M115">
            <v>101778.963662287</v>
          </cell>
        </row>
        <row r="116">
          <cell r="H116">
            <v>328998.19172585697</v>
          </cell>
          <cell r="I116">
            <v>54121.2055077486</v>
          </cell>
          <cell r="J116">
            <v>224635.51731335299</v>
          </cell>
          <cell r="K116">
            <v>69497.053563003603</v>
          </cell>
          <cell r="L116">
            <v>112274.535237882</v>
          </cell>
          <cell r="M116">
            <v>100316.268835251</v>
          </cell>
        </row>
        <row r="117">
          <cell r="H117">
            <v>331592.00295302598</v>
          </cell>
          <cell r="I117">
            <v>54271.462271470002</v>
          </cell>
          <cell r="J117">
            <v>226492.50491157101</v>
          </cell>
          <cell r="K117">
            <v>69875.124251867193</v>
          </cell>
          <cell r="L117">
            <v>114217.504434111</v>
          </cell>
          <cell r="M117">
            <v>101476.906713993</v>
          </cell>
        </row>
        <row r="118">
          <cell r="H118">
            <v>335282.56609764899</v>
          </cell>
          <cell r="I118">
            <v>54535.577027882799</v>
          </cell>
          <cell r="J118">
            <v>227962.57744412599</v>
          </cell>
          <cell r="K118">
            <v>70873.791578981603</v>
          </cell>
          <cell r="L118">
            <v>116680.118934859</v>
          </cell>
          <cell r="M118">
            <v>102843.76755526901</v>
          </cell>
        </row>
        <row r="119">
          <cell r="H119">
            <v>338363.916722872</v>
          </cell>
          <cell r="I119">
            <v>55183.315054129002</v>
          </cell>
          <cell r="J119">
            <v>228062.88875744599</v>
          </cell>
          <cell r="K119">
            <v>71232.724243815494</v>
          </cell>
          <cell r="L119">
            <v>117408.689359326</v>
          </cell>
          <cell r="M119">
            <v>103474.047727831</v>
          </cell>
        </row>
        <row r="120">
          <cell r="H120">
            <v>340952.64647397702</v>
          </cell>
          <cell r="I120">
            <v>55841.883245106001</v>
          </cell>
          <cell r="J120">
            <v>231805.31961214999</v>
          </cell>
          <cell r="K120">
            <v>70795.597768743697</v>
          </cell>
          <cell r="L120">
            <v>117816.299858996</v>
          </cell>
          <cell r="M120">
            <v>104669.355922241</v>
          </cell>
        </row>
        <row r="121">
          <cell r="H121">
            <v>343727.13240569399</v>
          </cell>
          <cell r="I121">
            <v>56331.547953955502</v>
          </cell>
          <cell r="J121">
            <v>231957.42431785801</v>
          </cell>
          <cell r="K121">
            <v>73825.076941491105</v>
          </cell>
          <cell r="L121">
            <v>117918.43911656601</v>
          </cell>
          <cell r="M121">
            <v>105974.48070613699</v>
          </cell>
        </row>
        <row r="122">
          <cell r="H122">
            <v>345915.554764534</v>
          </cell>
          <cell r="I122">
            <v>56636.676073326998</v>
          </cell>
          <cell r="J122">
            <v>232463.075223778</v>
          </cell>
          <cell r="K122">
            <v>74799.549076258394</v>
          </cell>
          <cell r="L122">
            <v>120691.515657172</v>
          </cell>
          <cell r="M122">
            <v>108104.17026171301</v>
          </cell>
        </row>
        <row r="123">
          <cell r="H123">
            <v>348695.68678076903</v>
          </cell>
          <cell r="I123">
            <v>57071.436555758803</v>
          </cell>
          <cell r="J123">
            <v>232582.629931898</v>
          </cell>
          <cell r="K123">
            <v>75476.589682800797</v>
          </cell>
          <cell r="L123">
            <v>122307.50155199799</v>
          </cell>
          <cell r="M123">
            <v>109799.254327257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9"/>
  <sheetViews>
    <sheetView tabSelected="1" topLeftCell="G108" workbookViewId="0">
      <selection activeCell="M124" sqref="M124"/>
    </sheetView>
  </sheetViews>
  <sheetFormatPr baseColWidth="10"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15</v>
      </c>
      <c r="Z1" t="s">
        <v>18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S1" t="s">
        <v>16</v>
      </c>
      <c r="AT1" t="s">
        <v>17</v>
      </c>
      <c r="AV1" t="s">
        <v>7</v>
      </c>
      <c r="AW1" t="s">
        <v>8</v>
      </c>
      <c r="AX1" t="s">
        <v>9</v>
      </c>
      <c r="AY1" t="s">
        <v>10</v>
      </c>
      <c r="AZ1" t="s">
        <v>11</v>
      </c>
      <c r="BA1" t="s">
        <v>12</v>
      </c>
      <c r="BB1" t="s">
        <v>13</v>
      </c>
    </row>
    <row r="2" spans="1:54" x14ac:dyDescent="0.25">
      <c r="A2" s="1">
        <v>34700</v>
      </c>
      <c r="B2">
        <v>112609</v>
      </c>
      <c r="C2">
        <v>67742</v>
      </c>
      <c r="D2">
        <v>19845</v>
      </c>
      <c r="E2">
        <v>25276</v>
      </c>
      <c r="F2">
        <v>24891</v>
      </c>
      <c r="G2">
        <v>26225</v>
      </c>
      <c r="H2">
        <f>'[1]Sheet 1'!H2</f>
        <v>189189</v>
      </c>
      <c r="I2">
        <f>'[1]Sheet 1'!I2</f>
        <v>34353</v>
      </c>
      <c r="J2">
        <f>'[1]Sheet 1'!J2</f>
        <v>114559</v>
      </c>
      <c r="K2">
        <f>'[1]Sheet 1'!K2</f>
        <v>37072</v>
      </c>
      <c r="L2">
        <f>'[1]Sheet 1'!L2</f>
        <v>36066</v>
      </c>
      <c r="M2">
        <f>'[1]Sheet 1'!M2</f>
        <v>35615</v>
      </c>
      <c r="N2">
        <f>H2+M2-I2-J2-K2-L2</f>
        <v>2754</v>
      </c>
      <c r="AU2" t="s">
        <v>43</v>
      </c>
    </row>
    <row r="3" spans="1:54" x14ac:dyDescent="0.25">
      <c r="A3" s="1">
        <v>34790</v>
      </c>
      <c r="B3">
        <v>114297</v>
      </c>
      <c r="C3">
        <v>68655</v>
      </c>
      <c r="D3">
        <v>20086</v>
      </c>
      <c r="E3">
        <v>25884</v>
      </c>
      <c r="F3">
        <v>24992</v>
      </c>
      <c r="G3">
        <v>26413</v>
      </c>
      <c r="H3">
        <f>'[1]Sheet 1'!H3</f>
        <v>190436.220069834</v>
      </c>
      <c r="I3">
        <f>'[1]Sheet 1'!I3</f>
        <v>34673.431613012901</v>
      </c>
      <c r="J3">
        <f>'[1]Sheet 1'!J3</f>
        <v>114527.06415331</v>
      </c>
      <c r="K3">
        <f>'[1]Sheet 1'!K3</f>
        <v>37439.755443158298</v>
      </c>
      <c r="L3">
        <f>'[1]Sheet 1'!L3</f>
        <v>36024.266604952601</v>
      </c>
      <c r="M3">
        <f>'[1]Sheet 1'!M3</f>
        <v>35714.268309482402</v>
      </c>
      <c r="N3">
        <f t="shared" ref="N3:N66" si="0">H3+M3-I3-J3-K3-L3</f>
        <v>3485.9705648825911</v>
      </c>
      <c r="R3">
        <f>((H3-H2)/H2)*100</f>
        <v>0.6592455533006687</v>
      </c>
      <c r="S3">
        <f t="shared" ref="R3:W3" si="1">((I3-I2)/I2)*100</f>
        <v>0.93276165986347892</v>
      </c>
      <c r="T3">
        <f t="shared" si="1"/>
        <v>-2.7877204488517878E-2</v>
      </c>
      <c r="U3">
        <f t="shared" si="1"/>
        <v>0.99200324546368568</v>
      </c>
      <c r="V3">
        <f t="shared" si="1"/>
        <v>-0.11571395510286285</v>
      </c>
      <c r="W3">
        <f t="shared" si="1"/>
        <v>0.27872612517872358</v>
      </c>
      <c r="X3">
        <f>((N3-N2)/N2)*100</f>
        <v>26.578451883899461</v>
      </c>
      <c r="Y3" t="e">
        <f>((P3-P2)/P2)*100</f>
        <v>#DIV/0!</v>
      </c>
      <c r="AA3">
        <f t="shared" ref="AA3:AG3" si="2">H2/$H2</f>
        <v>1</v>
      </c>
      <c r="AB3">
        <f t="shared" si="2"/>
        <v>0.1815803244374673</v>
      </c>
      <c r="AC3">
        <f t="shared" si="2"/>
        <v>0.6055267483838912</v>
      </c>
      <c r="AD3">
        <f t="shared" si="2"/>
        <v>0.19595219595219596</v>
      </c>
      <c r="AE3">
        <f t="shared" si="2"/>
        <v>0.19063476206333349</v>
      </c>
      <c r="AF3">
        <f t="shared" si="2"/>
        <v>0.18825090253661683</v>
      </c>
      <c r="AG3">
        <f t="shared" si="2"/>
        <v>1.4556871699728843E-2</v>
      </c>
    </row>
    <row r="4" spans="1:54" x14ac:dyDescent="0.25">
      <c r="A4" s="1">
        <v>34881</v>
      </c>
      <c r="B4">
        <v>115575</v>
      </c>
      <c r="C4">
        <v>69444</v>
      </c>
      <c r="D4">
        <v>20331</v>
      </c>
      <c r="E4">
        <v>26052</v>
      </c>
      <c r="F4">
        <v>24877</v>
      </c>
      <c r="G4">
        <v>26235</v>
      </c>
      <c r="H4">
        <f>'[1]Sheet 1'!H4</f>
        <v>191279.46279246701</v>
      </c>
      <c r="I4">
        <f>'[1]Sheet 1'!I4</f>
        <v>34770.9030955899</v>
      </c>
      <c r="J4">
        <f>'[1]Sheet 1'!J4</f>
        <v>114517.851889842</v>
      </c>
      <c r="K4">
        <f>'[1]Sheet 1'!K4</f>
        <v>37533.953095926197</v>
      </c>
      <c r="L4">
        <f>'[1]Sheet 1'!L4</f>
        <v>37047.81038658</v>
      </c>
      <c r="M4">
        <f>'[1]Sheet 1'!M4</f>
        <v>36430.161266252297</v>
      </c>
      <c r="N4">
        <f t="shared" si="0"/>
        <v>3839.1055907812261</v>
      </c>
      <c r="R4">
        <f t="shared" ref="R4:R35" si="3">((H4-H3)/H3)*100</f>
        <v>0.44279534760970474</v>
      </c>
      <c r="S4">
        <f t="shared" ref="S4:S35" si="4">((I4-I3)/I3)*100</f>
        <v>0.28111288108102311</v>
      </c>
      <c r="T4">
        <f t="shared" ref="T4:T35" si="5">((J4-J3)/J3)*100</f>
        <v>-8.0437436653979563E-3</v>
      </c>
      <c r="U4">
        <f t="shared" ref="U4:U35" si="6">((K4-K3)/K3)*100</f>
        <v>0.25159793821546833</v>
      </c>
      <c r="V4">
        <f t="shared" ref="V4:V35" si="7">((L4-L3)/L3)*100</f>
        <v>2.8412619550363933</v>
      </c>
      <c r="W4">
        <f t="shared" ref="W4:W35" si="8">((M4-M3)/M3)*100</f>
        <v>2.0045012558183068</v>
      </c>
      <c r="X4">
        <f t="shared" ref="X4:X67" si="9">((N4-N3)/N3)*100</f>
        <v>10.130178075973761</v>
      </c>
      <c r="Y4" t="e">
        <f t="shared" ref="Y4:Y67" si="10">((P4-P3)/P3)*100</f>
        <v>#DIV/0!</v>
      </c>
      <c r="AA4">
        <f t="shared" ref="AA4:AA67" si="11">H3/$H3</f>
        <v>1</v>
      </c>
      <c r="AB4">
        <f t="shared" ref="AB4:AB67" si="12">I3/$H3</f>
        <v>0.18207372316200124</v>
      </c>
      <c r="AC4">
        <f t="shared" ref="AC4:AC67" si="13">J3/$H3</f>
        <v>0.60139328595848152</v>
      </c>
      <c r="AD4">
        <f t="shared" ref="AD4:AD67" si="14">K3/$H3</f>
        <v>0.19659997152552669</v>
      </c>
      <c r="AE4">
        <f t="shared" ref="AE4:AE67" si="15">L3/$H3</f>
        <v>0.18916709537577625</v>
      </c>
      <c r="AF4">
        <f t="shared" ref="AF4:AF67" si="16">M3/$H3</f>
        <v>0.18753926273261351</v>
      </c>
      <c r="AG4">
        <f t="shared" ref="AG4:AG67" si="17">N3/$H3</f>
        <v>1.8305186710827735E-2</v>
      </c>
      <c r="AJ4">
        <f>AA3*R3</f>
        <v>0.6592455533006687</v>
      </c>
      <c r="AK4">
        <f>AB3*S3</f>
        <v>0.16937116482084102</v>
      </c>
      <c r="AL4">
        <f>AC3*T3</f>
        <v>-1.6880392987965048E-2</v>
      </c>
      <c r="AM4">
        <f>AD3*U3</f>
        <v>0.19438521434031447</v>
      </c>
      <c r="AN4">
        <f>AE3*V3</f>
        <v>-2.2059102298441515E-2</v>
      </c>
      <c r="AO4">
        <f>-AF3*W3</f>
        <v>-5.2470444625428755E-2</v>
      </c>
      <c r="AP4">
        <f>AG3*X3</f>
        <v>0.38689911405134081</v>
      </c>
      <c r="AQ4">
        <f>SUM(AK4:AP4)</f>
        <v>0.65924555330066104</v>
      </c>
      <c r="AS4">
        <f>SUM(AK4:AM4)</f>
        <v>0.34687598617319049</v>
      </c>
      <c r="AT4">
        <f>AN4+AO4</f>
        <v>-7.4529546923870274E-2</v>
      </c>
    </row>
    <row r="5" spans="1:54" x14ac:dyDescent="0.25">
      <c r="A5" s="1">
        <v>34973</v>
      </c>
      <c r="B5">
        <v>117778</v>
      </c>
      <c r="C5">
        <v>70537</v>
      </c>
      <c r="D5">
        <v>20628</v>
      </c>
      <c r="E5">
        <v>26435</v>
      </c>
      <c r="F5">
        <v>25881</v>
      </c>
      <c r="G5">
        <v>26823</v>
      </c>
      <c r="H5">
        <f>'[1]Sheet 1'!H5</f>
        <v>192727.96577533701</v>
      </c>
      <c r="I5">
        <f>'[1]Sheet 1'!I5</f>
        <v>35051.545625135397</v>
      </c>
      <c r="J5">
        <f>'[1]Sheet 1'!J5</f>
        <v>114805.683943981</v>
      </c>
      <c r="K5">
        <f>'[1]Sheet 1'!K5</f>
        <v>37621.583892218398</v>
      </c>
      <c r="L5">
        <f>'[1]Sheet 1'!L5</f>
        <v>37607.812314350696</v>
      </c>
      <c r="M5">
        <f>'[1]Sheet 1'!M5</f>
        <v>36775.883187579901</v>
      </c>
      <c r="N5">
        <f t="shared" si="0"/>
        <v>4417.2231872314223</v>
      </c>
      <c r="P5">
        <v>63.95</v>
      </c>
      <c r="R5">
        <f t="shared" si="3"/>
        <v>0.75727052017162577</v>
      </c>
      <c r="S5">
        <f t="shared" si="4"/>
        <v>0.80711889700987405</v>
      </c>
      <c r="T5">
        <f t="shared" si="5"/>
        <v>0.2513425194317061</v>
      </c>
      <c r="U5">
        <f t="shared" si="6"/>
        <v>0.23347073533192866</v>
      </c>
      <c r="V5">
        <f t="shared" si="7"/>
        <v>1.5115655201408289</v>
      </c>
      <c r="W5">
        <f t="shared" si="8"/>
        <v>0.9489991515570626</v>
      </c>
      <c r="X5">
        <f t="shared" si="9"/>
        <v>15.058653188347293</v>
      </c>
      <c r="Y5" t="e">
        <f t="shared" si="10"/>
        <v>#DIV/0!</v>
      </c>
      <c r="AA5">
        <f t="shared" si="11"/>
        <v>1</v>
      </c>
      <c r="AB5">
        <f t="shared" si="12"/>
        <v>0.18178063963571134</v>
      </c>
      <c r="AC5">
        <f t="shared" si="13"/>
        <v>0.59869392258849419</v>
      </c>
      <c r="AD5">
        <f t="shared" si="14"/>
        <v>0.19622573457689763</v>
      </c>
      <c r="AE5">
        <f t="shared" si="15"/>
        <v>0.19368420344622078</v>
      </c>
      <c r="AF5">
        <f t="shared" si="16"/>
        <v>0.19045516300815851</v>
      </c>
      <c r="AG5">
        <f t="shared" si="17"/>
        <v>2.0070662760834659E-2</v>
      </c>
      <c r="AJ5">
        <f t="shared" ref="AJ5:AJ68" si="18">AA4*R4</f>
        <v>0.44279534760970474</v>
      </c>
      <c r="AK5">
        <f t="shared" ref="AK5:AK68" si="19">AB4*S4</f>
        <v>5.1183268887218775E-2</v>
      </c>
      <c r="AL5">
        <f t="shared" ref="AL5:AL68" si="20">AC4*T4</f>
        <v>-4.8374534343413973E-3</v>
      </c>
      <c r="AM5">
        <f t="shared" ref="AM5:AM68" si="21">AD4*U4</f>
        <v>4.94641474890423E-2</v>
      </c>
      <c r="AN5">
        <f t="shared" ref="AN5:AN68" si="22">AE4*V4</f>
        <v>0.53747327123593391</v>
      </c>
      <c r="AO5">
        <f t="shared" ref="AO5:AO68" si="23">-AF4*W4</f>
        <v>-0.37592268766276316</v>
      </c>
      <c r="AP5">
        <f t="shared" ref="AP5:AP68" si="24">AG4*X4</f>
        <v>0.18543480109463337</v>
      </c>
      <c r="AQ5">
        <f t="shared" ref="AQ5:AQ68" si="25">SUM(AK5:AP5)</f>
        <v>0.44279534760972383</v>
      </c>
      <c r="AS5">
        <f t="shared" ref="AS5:AS68" si="26">SUM(AK5:AM5)</f>
        <v>9.580996294191968E-2</v>
      </c>
      <c r="AT5">
        <f t="shared" ref="AT5:AT68" si="27">AN5+AO5</f>
        <v>0.16155058357317076</v>
      </c>
    </row>
    <row r="6" spans="1:54" x14ac:dyDescent="0.25">
      <c r="A6" s="1">
        <v>35065</v>
      </c>
      <c r="B6">
        <v>119431</v>
      </c>
      <c r="C6">
        <v>70992</v>
      </c>
      <c r="D6">
        <v>20954</v>
      </c>
      <c r="E6">
        <v>26908</v>
      </c>
      <c r="F6">
        <v>26983</v>
      </c>
      <c r="G6">
        <v>27536</v>
      </c>
      <c r="H6">
        <f>'[1]Sheet 1'!H6</f>
        <v>193835.162949146</v>
      </c>
      <c r="I6">
        <f>'[1]Sheet 1'!I6</f>
        <v>35064.118033757601</v>
      </c>
      <c r="J6">
        <f>'[1]Sheet 1'!J6</f>
        <v>114684.49150013299</v>
      </c>
      <c r="K6">
        <f>'[1]Sheet 1'!K6</f>
        <v>38386.680074230702</v>
      </c>
      <c r="L6">
        <f>'[1]Sheet 1'!L6</f>
        <v>38972.451308283402</v>
      </c>
      <c r="M6">
        <f>'[1]Sheet 1'!M6</f>
        <v>37304.360192674598</v>
      </c>
      <c r="N6">
        <f t="shared" si="0"/>
        <v>4031.7822254158891</v>
      </c>
      <c r="P6">
        <v>64.383333333333297</v>
      </c>
      <c r="R6">
        <f t="shared" si="3"/>
        <v>0.57448703376014054</v>
      </c>
      <c r="S6">
        <f t="shared" si="4"/>
        <v>3.5868343030179703E-2</v>
      </c>
      <c r="T6">
        <f t="shared" si="5"/>
        <v>-0.10556310426854901</v>
      </c>
      <c r="U6">
        <f t="shared" si="6"/>
        <v>2.0336628681137383</v>
      </c>
      <c r="V6">
        <f t="shared" si="7"/>
        <v>3.6286050954683571</v>
      </c>
      <c r="W6">
        <f t="shared" si="8"/>
        <v>1.437020566981724</v>
      </c>
      <c r="X6">
        <f t="shared" si="9"/>
        <v>-8.7258656734779034</v>
      </c>
      <c r="Y6">
        <f t="shared" si="10"/>
        <v>0.6776127182694206</v>
      </c>
      <c r="AA6">
        <f t="shared" si="11"/>
        <v>1</v>
      </c>
      <c r="AB6">
        <f t="shared" si="12"/>
        <v>0.18187057329290229</v>
      </c>
      <c r="AC6">
        <f t="shared" si="13"/>
        <v>0.59568772742514176</v>
      </c>
      <c r="AD6">
        <f t="shared" si="14"/>
        <v>0.19520562955598192</v>
      </c>
      <c r="AE6">
        <f t="shared" si="15"/>
        <v>0.1951341735126812</v>
      </c>
      <c r="AF6">
        <f t="shared" si="16"/>
        <v>0.19081757564156282</v>
      </c>
      <c r="AG6">
        <f t="shared" si="17"/>
        <v>2.2919471854855666E-2</v>
      </c>
      <c r="AJ6">
        <f t="shared" si="18"/>
        <v>0.75727052017162577</v>
      </c>
      <c r="AK6">
        <f t="shared" si="19"/>
        <v>0.14671858936052473</v>
      </c>
      <c r="AL6">
        <f t="shared" si="20"/>
        <v>0.15047723887184294</v>
      </c>
      <c r="AM6">
        <f t="shared" si="21"/>
        <v>4.5812966542716146E-2</v>
      </c>
      <c r="AN6">
        <f t="shared" si="22"/>
        <v>0.29276636372524883</v>
      </c>
      <c r="AO6">
        <f t="shared" si="23"/>
        <v>-0.18074178810440447</v>
      </c>
      <c r="AP6">
        <f t="shared" si="24"/>
        <v>0.30223714977568611</v>
      </c>
      <c r="AQ6">
        <f t="shared" si="25"/>
        <v>0.75727052017161434</v>
      </c>
      <c r="AS6">
        <f t="shared" si="26"/>
        <v>0.34300879477508384</v>
      </c>
      <c r="AT6">
        <f t="shared" si="27"/>
        <v>0.11202457562084436</v>
      </c>
      <c r="AV6">
        <f>((H6-H2)/H2)*100</f>
        <v>2.4558314432371882</v>
      </c>
      <c r="AW6">
        <f t="shared" ref="AW6:BB6" si="28">((I6-I2)/I2)*100</f>
        <v>2.0700318276645433</v>
      </c>
      <c r="AX6">
        <f t="shared" si="28"/>
        <v>0.10954311763632162</v>
      </c>
      <c r="AY6">
        <f t="shared" si="28"/>
        <v>3.5462885040750494</v>
      </c>
      <c r="AZ6">
        <f t="shared" si="28"/>
        <v>8.0587015701308751</v>
      </c>
      <c r="BA6">
        <f t="shared" si="28"/>
        <v>4.7433951780839472</v>
      </c>
      <c r="BB6">
        <f t="shared" si="28"/>
        <v>46.397321184309696</v>
      </c>
    </row>
    <row r="7" spans="1:54" ht="15.75" customHeight="1" x14ac:dyDescent="0.25">
      <c r="A7" s="1">
        <v>35156</v>
      </c>
      <c r="B7">
        <v>121143</v>
      </c>
      <c r="C7">
        <v>72545</v>
      </c>
      <c r="D7">
        <v>21196</v>
      </c>
      <c r="E7">
        <v>26716</v>
      </c>
      <c r="F7">
        <v>27465</v>
      </c>
      <c r="G7">
        <v>27911</v>
      </c>
      <c r="H7">
        <f>'[1]Sheet 1'!H7</f>
        <v>195175.825717739</v>
      </c>
      <c r="I7">
        <f>'[1]Sheet 1'!I7</f>
        <v>35498.219288770902</v>
      </c>
      <c r="J7">
        <f>'[1]Sheet 1'!J7</f>
        <v>114888.59431519501</v>
      </c>
      <c r="K7">
        <f>'[1]Sheet 1'!K7</f>
        <v>38641.817372985999</v>
      </c>
      <c r="L7">
        <f>'[1]Sheet 1'!L7</f>
        <v>39475.4893030202</v>
      </c>
      <c r="M7">
        <f>'[1]Sheet 1'!M7</f>
        <v>37982.639127729599</v>
      </c>
      <c r="N7">
        <f t="shared" si="0"/>
        <v>4654.3445654965108</v>
      </c>
      <c r="P7">
        <v>64.97</v>
      </c>
      <c r="R7">
        <f t="shared" si="3"/>
        <v>0.69165096167031981</v>
      </c>
      <c r="S7">
        <f t="shared" si="4"/>
        <v>1.2380213145397685</v>
      </c>
      <c r="T7">
        <f t="shared" si="5"/>
        <v>0.17796897592014407</v>
      </c>
      <c r="U7">
        <f t="shared" si="6"/>
        <v>0.66465059823335071</v>
      </c>
      <c r="V7">
        <f t="shared" si="7"/>
        <v>1.2907527698415011</v>
      </c>
      <c r="W7">
        <f t="shared" si="8"/>
        <v>1.8182296427327378</v>
      </c>
      <c r="X7">
        <f t="shared" si="9"/>
        <v>15.441368240478381</v>
      </c>
      <c r="Y7">
        <f t="shared" si="10"/>
        <v>0.91120890499617169</v>
      </c>
      <c r="AA7">
        <f t="shared" si="11"/>
        <v>1</v>
      </c>
      <c r="AB7">
        <f t="shared" si="12"/>
        <v>0.18089657985820104</v>
      </c>
      <c r="AC7">
        <f t="shared" si="13"/>
        <v>0.59165989160708299</v>
      </c>
      <c r="AD7">
        <f t="shared" si="14"/>
        <v>0.19803775274923524</v>
      </c>
      <c r="AE7">
        <f t="shared" si="15"/>
        <v>0.2010597598254559</v>
      </c>
      <c r="AF7">
        <f t="shared" si="16"/>
        <v>0.19245403994352486</v>
      </c>
      <c r="AG7">
        <f t="shared" si="17"/>
        <v>2.0800055903549632E-2</v>
      </c>
      <c r="AJ7">
        <f t="shared" si="18"/>
        <v>0.57448703376014054</v>
      </c>
      <c r="AK7">
        <f t="shared" si="19"/>
        <v>6.523396109965259E-3</v>
      </c>
      <c r="AL7">
        <f t="shared" si="20"/>
        <v>-6.2882645681675245E-2</v>
      </c>
      <c r="AM7">
        <f t="shared" si="21"/>
        <v>0.39698244047476611</v>
      </c>
      <c r="AN7">
        <f t="shared" si="22"/>
        <v>0.70806485630812155</v>
      </c>
      <c r="AO7">
        <f t="shared" si="23"/>
        <v>-0.27420878073851662</v>
      </c>
      <c r="AP7">
        <f t="shared" si="24"/>
        <v>-0.19999223271252797</v>
      </c>
      <c r="AQ7">
        <f t="shared" si="25"/>
        <v>0.5744870337601331</v>
      </c>
      <c r="AS7">
        <f t="shared" si="26"/>
        <v>0.34062319090305615</v>
      </c>
      <c r="AT7">
        <f t="shared" si="27"/>
        <v>0.43385607556960493</v>
      </c>
      <c r="AV7">
        <f t="shared" ref="AV7:AV70" si="29">((H7-H3)/H3)*100</f>
        <v>2.4888152296695254</v>
      </c>
      <c r="AW7">
        <f t="shared" ref="AW7:AW70" si="30">((I7-I3)/I3)*100</f>
        <v>2.3787310265778818</v>
      </c>
      <c r="AX7">
        <f t="shared" ref="AX7:AX70" si="31">((J7-J3)/J3)*100</f>
        <v>0.31567225140867061</v>
      </c>
      <c r="AY7">
        <f t="shared" ref="AY7:AY70" si="32">((K7-K3)/K3)*100</f>
        <v>3.2106564682365333</v>
      </c>
      <c r="AZ7">
        <f t="shared" ref="AZ7:AZ70" si="33">((L7-L3)/L3)*100</f>
        <v>9.5802719203536153</v>
      </c>
      <c r="BA7">
        <f t="shared" ref="BA7:BA70" si="34">((M7-M3)/M3)*100</f>
        <v>6.3514413863686157</v>
      </c>
      <c r="BB7">
        <f t="shared" ref="BB7:BB70" si="35">((N7-N3)/N3)*100</f>
        <v>33.516462025928526</v>
      </c>
    </row>
    <row r="8" spans="1:54" x14ac:dyDescent="0.25">
      <c r="A8" s="1">
        <v>35247</v>
      </c>
      <c r="B8">
        <v>123502</v>
      </c>
      <c r="C8">
        <v>73543</v>
      </c>
      <c r="D8">
        <v>21454</v>
      </c>
      <c r="E8">
        <v>27403</v>
      </c>
      <c r="F8">
        <v>28457</v>
      </c>
      <c r="G8">
        <v>28500</v>
      </c>
      <c r="H8">
        <f>'[1]Sheet 1'!H8</f>
        <v>196777.055286797</v>
      </c>
      <c r="I8">
        <f>'[1]Sheet 1'!I8</f>
        <v>35821.2407237847</v>
      </c>
      <c r="J8">
        <f>'[1]Sheet 1'!J8</f>
        <v>115477.974460192</v>
      </c>
      <c r="K8">
        <f>'[1]Sheet 1'!K8</f>
        <v>39487.799546780901</v>
      </c>
      <c r="L8">
        <f>'[1]Sheet 1'!L8</f>
        <v>41161.088221750899</v>
      </c>
      <c r="M8">
        <f>'[1]Sheet 1'!M8</f>
        <v>39869.718243244803</v>
      </c>
      <c r="N8">
        <f t="shared" si="0"/>
        <v>4698.6705775333103</v>
      </c>
      <c r="P8">
        <v>65.34</v>
      </c>
      <c r="R8">
        <f t="shared" si="3"/>
        <v>0.82040363511702086</v>
      </c>
      <c r="S8">
        <f t="shared" si="4"/>
        <v>0.90996517990404802</v>
      </c>
      <c r="T8">
        <f t="shared" si="5"/>
        <v>0.51300144153564597</v>
      </c>
      <c r="U8">
        <f t="shared" si="6"/>
        <v>2.189291889739942</v>
      </c>
      <c r="V8">
        <f t="shared" si="7"/>
        <v>4.269988665097399</v>
      </c>
      <c r="W8">
        <f t="shared" si="8"/>
        <v>4.9682675002367676</v>
      </c>
      <c r="X8">
        <f t="shared" si="9"/>
        <v>0.95235776838260255</v>
      </c>
      <c r="Y8">
        <f t="shared" si="10"/>
        <v>0.56949361243651619</v>
      </c>
      <c r="Z8">
        <f>((P8-P5)/P5)*100</f>
        <v>2.1735731039874908</v>
      </c>
      <c r="AA8">
        <f t="shared" si="11"/>
        <v>1</v>
      </c>
      <c r="AB8">
        <f t="shared" si="12"/>
        <v>0.18187815605867097</v>
      </c>
      <c r="AC8">
        <f t="shared" si="13"/>
        <v>0.58864151793750086</v>
      </c>
      <c r="AD8">
        <f t="shared" si="14"/>
        <v>0.1979846491279578</v>
      </c>
      <c r="AE8">
        <f t="shared" si="15"/>
        <v>0.20225603840974235</v>
      </c>
      <c r="AF8">
        <f t="shared" si="16"/>
        <v>0.19460729313198677</v>
      </c>
      <c r="AG8">
        <f t="shared" si="17"/>
        <v>2.3846931598114868E-2</v>
      </c>
      <c r="AJ8">
        <f t="shared" si="18"/>
        <v>0.69165096167031981</v>
      </c>
      <c r="AK8">
        <f t="shared" si="19"/>
        <v>0.22395382159179825</v>
      </c>
      <c r="AL8">
        <f t="shared" si="20"/>
        <v>0.10529710500233601</v>
      </c>
      <c r="AM8">
        <f t="shared" si="21"/>
        <v>0.13162591083756758</v>
      </c>
      <c r="AN8">
        <f t="shared" si="22"/>
        <v>0.2595184418983742</v>
      </c>
      <c r="AO8">
        <f t="shared" si="23"/>
        <v>-0.34992564028898726</v>
      </c>
      <c r="AP8">
        <f t="shared" si="24"/>
        <v>0.32118132262924615</v>
      </c>
      <c r="AQ8">
        <f t="shared" si="25"/>
        <v>0.69165096167033502</v>
      </c>
      <c r="AS8">
        <f t="shared" si="26"/>
        <v>0.46087683743170182</v>
      </c>
      <c r="AT8">
        <f t="shared" si="27"/>
        <v>-9.0407198390613064E-2</v>
      </c>
      <c r="AV8">
        <f t="shared" si="29"/>
        <v>2.8741153985228034</v>
      </c>
      <c r="AW8">
        <f t="shared" si="30"/>
        <v>3.0207372679026503</v>
      </c>
      <c r="AX8">
        <f t="shared" si="31"/>
        <v>0.83840427890104363</v>
      </c>
      <c r="AY8">
        <f t="shared" si="32"/>
        <v>5.2055440200003007</v>
      </c>
      <c r="AZ8">
        <f t="shared" si="33"/>
        <v>11.102620619816362</v>
      </c>
      <c r="BA8">
        <f t="shared" si="34"/>
        <v>9.4415090612810388</v>
      </c>
      <c r="BB8">
        <f t="shared" si="35"/>
        <v>22.389719856003492</v>
      </c>
    </row>
    <row r="9" spans="1:54" x14ac:dyDescent="0.25">
      <c r="A9" s="1">
        <v>35339</v>
      </c>
      <c r="B9">
        <v>124870</v>
      </c>
      <c r="C9">
        <v>74069</v>
      </c>
      <c r="D9">
        <v>21658</v>
      </c>
      <c r="E9">
        <v>27695</v>
      </c>
      <c r="F9">
        <v>29910</v>
      </c>
      <c r="G9">
        <v>29609</v>
      </c>
      <c r="H9">
        <f>'[1]Sheet 1'!H9</f>
        <v>197755.804037842</v>
      </c>
      <c r="I9">
        <f>'[1]Sheet 1'!I9</f>
        <v>35898.605770100599</v>
      </c>
      <c r="J9">
        <f>'[1]Sheet 1'!J9</f>
        <v>116050.36309701399</v>
      </c>
      <c r="K9">
        <f>'[1]Sheet 1'!K9</f>
        <v>39494.222896777697</v>
      </c>
      <c r="L9">
        <f>'[1]Sheet 1'!L9</f>
        <v>41795.349778234799</v>
      </c>
      <c r="M9">
        <f>'[1]Sheet 1'!M9</f>
        <v>39939.467722642301</v>
      </c>
      <c r="N9">
        <f t="shared" si="0"/>
        <v>4456.7302183571956</v>
      </c>
      <c r="P9">
        <v>65.62</v>
      </c>
      <c r="R9">
        <f t="shared" si="3"/>
        <v>0.49738967260105721</v>
      </c>
      <c r="S9">
        <f t="shared" si="4"/>
        <v>0.21597533963844573</v>
      </c>
      <c r="T9">
        <f t="shared" si="5"/>
        <v>0.49566910010126075</v>
      </c>
      <c r="U9">
        <f t="shared" si="6"/>
        <v>1.6266669884165572E-2</v>
      </c>
      <c r="V9">
        <f t="shared" si="7"/>
        <v>1.5409251404308952</v>
      </c>
      <c r="W9">
        <f t="shared" si="8"/>
        <v>0.17494349714727703</v>
      </c>
      <c r="X9">
        <f t="shared" si="9"/>
        <v>-5.1491236762362602</v>
      </c>
      <c r="Y9">
        <f t="shared" si="10"/>
        <v>0.42852770125497569</v>
      </c>
      <c r="Z9">
        <f t="shared" ref="Z9:Z72" si="36">((P9-P6)/P6)*100</f>
        <v>1.9207869531452881</v>
      </c>
      <c r="AA9">
        <f t="shared" si="11"/>
        <v>1</v>
      </c>
      <c r="AB9">
        <f t="shared" si="12"/>
        <v>0.18203972344019609</v>
      </c>
      <c r="AC9">
        <f t="shared" si="13"/>
        <v>0.58684674537834769</v>
      </c>
      <c r="AD9">
        <f t="shared" si="14"/>
        <v>0.20067278417815812</v>
      </c>
      <c r="AE9">
        <f t="shared" si="15"/>
        <v>0.20917625869418452</v>
      </c>
      <c r="AF9">
        <f t="shared" si="16"/>
        <v>0.20261365424508368</v>
      </c>
      <c r="AG9">
        <f t="shared" si="17"/>
        <v>2.3878142554197342E-2</v>
      </c>
      <c r="AJ9">
        <f t="shared" si="18"/>
        <v>0.82040363511702086</v>
      </c>
      <c r="AK9">
        <f t="shared" si="19"/>
        <v>0.16550278899854504</v>
      </c>
      <c r="AL9">
        <f t="shared" si="20"/>
        <v>0.30197394724966875</v>
      </c>
      <c r="AM9">
        <f t="shared" si="21"/>
        <v>0.4334461866288461</v>
      </c>
      <c r="AN9">
        <f t="shared" si="22"/>
        <v>0.86363099145710398</v>
      </c>
      <c r="AO9">
        <f t="shared" si="23"/>
        <v>-0.96686108977669982</v>
      </c>
      <c r="AP9">
        <f t="shared" si="24"/>
        <v>2.2710810559553245E-2</v>
      </c>
      <c r="AQ9">
        <f t="shared" si="25"/>
        <v>0.82040363511701719</v>
      </c>
      <c r="AS9">
        <f t="shared" si="26"/>
        <v>0.90092292287705988</v>
      </c>
      <c r="AT9">
        <f t="shared" si="27"/>
        <v>-0.10323009831959584</v>
      </c>
      <c r="AV9">
        <f t="shared" si="29"/>
        <v>2.6087746229656865</v>
      </c>
      <c r="AW9">
        <f t="shared" si="30"/>
        <v>2.4166128193724412</v>
      </c>
      <c r="AX9">
        <f t="shared" si="31"/>
        <v>1.0841616114062176</v>
      </c>
      <c r="AY9">
        <f t="shared" si="32"/>
        <v>4.977565564289371</v>
      </c>
      <c r="AZ9">
        <f t="shared" si="33"/>
        <v>11.134754207136337</v>
      </c>
      <c r="BA9">
        <f t="shared" si="34"/>
        <v>8.6023346303504109</v>
      </c>
      <c r="BB9">
        <f t="shared" si="35"/>
        <v>0.89438612112635818</v>
      </c>
    </row>
    <row r="10" spans="1:54" x14ac:dyDescent="0.25">
      <c r="A10" s="1">
        <v>35431</v>
      </c>
      <c r="B10">
        <v>126091</v>
      </c>
      <c r="C10">
        <v>75367</v>
      </c>
      <c r="D10">
        <v>21665</v>
      </c>
      <c r="E10">
        <v>28175</v>
      </c>
      <c r="F10">
        <v>30616</v>
      </c>
      <c r="G10">
        <v>30892</v>
      </c>
      <c r="H10">
        <f>'[1]Sheet 1'!H10</f>
        <v>199727.981359675</v>
      </c>
      <c r="I10">
        <f>'[1]Sheet 1'!I10</f>
        <v>36065.484482300199</v>
      </c>
      <c r="J10">
        <f>'[1]Sheet 1'!J10</f>
        <v>116073.086680236</v>
      </c>
      <c r="K10">
        <f>'[1]Sheet 1'!K10</f>
        <v>40483.705809240797</v>
      </c>
      <c r="L10">
        <f>'[1]Sheet 1'!L10</f>
        <v>43330.192185371401</v>
      </c>
      <c r="M10">
        <f>'[1]Sheet 1'!M10</f>
        <v>41244.8378153749</v>
      </c>
      <c r="N10">
        <f t="shared" si="0"/>
        <v>5020.3500179014954</v>
      </c>
      <c r="P10">
        <v>65.75</v>
      </c>
      <c r="R10">
        <f t="shared" si="3"/>
        <v>0.99727910967185329</v>
      </c>
      <c r="S10">
        <f t="shared" si="4"/>
        <v>0.46486126304824343</v>
      </c>
      <c r="T10">
        <f t="shared" si="5"/>
        <v>1.9580794592608867E-2</v>
      </c>
      <c r="U10">
        <f t="shared" si="6"/>
        <v>2.5053864587973216</v>
      </c>
      <c r="V10">
        <f t="shared" si="7"/>
        <v>3.6722803261138912</v>
      </c>
      <c r="W10">
        <f t="shared" si="8"/>
        <v>3.2683712807533598</v>
      </c>
      <c r="X10">
        <f t="shared" si="9"/>
        <v>12.646486817235642</v>
      </c>
      <c r="Y10">
        <f t="shared" si="10"/>
        <v>0.19811033221578092</v>
      </c>
      <c r="Z10">
        <f t="shared" si="36"/>
        <v>1.2005541018931831</v>
      </c>
      <c r="AA10">
        <f t="shared" si="11"/>
        <v>1</v>
      </c>
      <c r="AB10">
        <f t="shared" si="12"/>
        <v>0.18152997301273213</v>
      </c>
      <c r="AC10">
        <f t="shared" si="13"/>
        <v>0.58683669822811835</v>
      </c>
      <c r="AD10">
        <f t="shared" si="14"/>
        <v>0.19971207969815233</v>
      </c>
      <c r="AE10">
        <f t="shared" si="15"/>
        <v>0.21134828371579403</v>
      </c>
      <c r="AF10">
        <f t="shared" si="16"/>
        <v>0.20196356772921617</v>
      </c>
      <c r="AG10">
        <f t="shared" si="17"/>
        <v>2.2536533074419239E-2</v>
      </c>
      <c r="AJ10">
        <f t="shared" si="18"/>
        <v>0.49738967260105721</v>
      </c>
      <c r="AK10">
        <f t="shared" si="19"/>
        <v>3.931609109768508E-2</v>
      </c>
      <c r="AL10">
        <f t="shared" si="20"/>
        <v>0.29088179817903931</v>
      </c>
      <c r="AM10">
        <f t="shared" si="21"/>
        <v>3.2642779349625023E-3</v>
      </c>
      <c r="AN10">
        <f t="shared" si="22"/>
        <v>0.32232495580314557</v>
      </c>
      <c r="AO10">
        <f t="shared" si="23"/>
        <v>-3.5445941243424171E-2</v>
      </c>
      <c r="AP10">
        <f t="shared" si="24"/>
        <v>-0.1229515091703621</v>
      </c>
      <c r="AQ10">
        <f t="shared" si="25"/>
        <v>0.49738967260104616</v>
      </c>
      <c r="AS10">
        <f t="shared" si="26"/>
        <v>0.33346216721168687</v>
      </c>
      <c r="AT10">
        <f t="shared" si="27"/>
        <v>0.28687901455972142</v>
      </c>
      <c r="AV10">
        <f t="shared" si="29"/>
        <v>3.0401183773219826</v>
      </c>
      <c r="AW10">
        <f t="shared" si="30"/>
        <v>2.8558153026365676</v>
      </c>
      <c r="AX10">
        <f t="shared" si="31"/>
        <v>1.2107959515183377</v>
      </c>
      <c r="AY10">
        <f t="shared" si="32"/>
        <v>5.462899450942218</v>
      </c>
      <c r="AZ10">
        <f t="shared" si="33"/>
        <v>11.181592973500702</v>
      </c>
      <c r="BA10">
        <f t="shared" si="34"/>
        <v>10.563048400637328</v>
      </c>
      <c r="BB10">
        <f t="shared" si="35"/>
        <v>24.519374738392099</v>
      </c>
    </row>
    <row r="11" spans="1:54" x14ac:dyDescent="0.25">
      <c r="A11" s="1">
        <v>35521</v>
      </c>
      <c r="B11">
        <v>127662</v>
      </c>
      <c r="C11">
        <v>75258</v>
      </c>
      <c r="D11">
        <v>21897</v>
      </c>
      <c r="E11">
        <v>29153</v>
      </c>
      <c r="F11">
        <v>32508</v>
      </c>
      <c r="G11">
        <v>32335</v>
      </c>
      <c r="H11">
        <f>'[1]Sheet 1'!H11</f>
        <v>201529.36462486599</v>
      </c>
      <c r="I11">
        <f>'[1]Sheet 1'!I11</f>
        <v>36066.944200155202</v>
      </c>
      <c r="J11">
        <f>'[1]Sheet 1'!J11</f>
        <v>117695.468635464</v>
      </c>
      <c r="K11">
        <f>'[1]Sheet 1'!K11</f>
        <v>40959.6708777694</v>
      </c>
      <c r="L11">
        <f>'[1]Sheet 1'!L11</f>
        <v>44885.341976489799</v>
      </c>
      <c r="M11">
        <f>'[1]Sheet 1'!M11</f>
        <v>42091.643921635303</v>
      </c>
      <c r="N11">
        <f t="shared" si="0"/>
        <v>4013.5828566228738</v>
      </c>
      <c r="P11">
        <v>65.883333333333297</v>
      </c>
      <c r="R11">
        <f t="shared" si="3"/>
        <v>0.90191832557853568</v>
      </c>
      <c r="S11">
        <f t="shared" si="4"/>
        <v>4.0474095272984541E-3</v>
      </c>
      <c r="T11">
        <f t="shared" si="5"/>
        <v>1.3977244868980039</v>
      </c>
      <c r="U11">
        <f t="shared" si="6"/>
        <v>1.1756954039023761</v>
      </c>
      <c r="V11">
        <f t="shared" si="7"/>
        <v>3.5890673746963628</v>
      </c>
      <c r="W11">
        <f t="shared" si="8"/>
        <v>2.0531202233137105</v>
      </c>
      <c r="X11">
        <f t="shared" si="9"/>
        <v>-20.053724495079127</v>
      </c>
      <c r="Y11">
        <f t="shared" si="10"/>
        <v>0.20278833967041421</v>
      </c>
      <c r="Z11">
        <f t="shared" si="36"/>
        <v>0.8315478012447105</v>
      </c>
      <c r="AA11">
        <f t="shared" si="11"/>
        <v>1</v>
      </c>
      <c r="AB11">
        <f t="shared" si="12"/>
        <v>0.18057301854642288</v>
      </c>
      <c r="AC11">
        <f t="shared" si="13"/>
        <v>0.58115585953481785</v>
      </c>
      <c r="AD11">
        <f t="shared" si="14"/>
        <v>0.20269421206604374</v>
      </c>
      <c r="AE11">
        <f t="shared" si="15"/>
        <v>0.2169460277443116</v>
      </c>
      <c r="AF11">
        <f t="shared" si="16"/>
        <v>0.20650505519855125</v>
      </c>
      <c r="AG11">
        <f t="shared" si="17"/>
        <v>2.5135937306955139E-2</v>
      </c>
      <c r="AJ11">
        <f t="shared" si="18"/>
        <v>0.99727910967185329</v>
      </c>
      <c r="AK11">
        <f t="shared" si="19"/>
        <v>8.4386252535812209E-2</v>
      </c>
      <c r="AL11">
        <f t="shared" si="20"/>
        <v>1.149072884740958E-2</v>
      </c>
      <c r="AM11">
        <f t="shared" si="21"/>
        <v>0.50035594013400231</v>
      </c>
      <c r="AN11">
        <f t="shared" si="22"/>
        <v>0.77613014424744731</v>
      </c>
      <c r="AO11">
        <f t="shared" si="23"/>
        <v>-0.66009192452465615</v>
      </c>
      <c r="AP11">
        <f t="shared" si="24"/>
        <v>0.28500796843183795</v>
      </c>
      <c r="AQ11">
        <f t="shared" si="25"/>
        <v>0.99727910967185329</v>
      </c>
      <c r="AS11">
        <f t="shared" si="26"/>
        <v>0.59623292151722407</v>
      </c>
      <c r="AT11">
        <f t="shared" si="27"/>
        <v>0.11603821972279116</v>
      </c>
      <c r="AV11">
        <f t="shared" si="29"/>
        <v>3.2552898822190217</v>
      </c>
      <c r="AW11">
        <f t="shared" si="30"/>
        <v>1.6021223677667766</v>
      </c>
      <c r="AX11">
        <f t="shared" si="31"/>
        <v>2.4431270458130774</v>
      </c>
      <c r="AY11">
        <f t="shared" si="32"/>
        <v>5.9983035539207918</v>
      </c>
      <c r="AZ11">
        <f t="shared" si="33"/>
        <v>13.704333420525074</v>
      </c>
      <c r="BA11">
        <f t="shared" si="34"/>
        <v>10.818112928087412</v>
      </c>
      <c r="BB11">
        <f t="shared" si="35"/>
        <v>-13.766959017682492</v>
      </c>
    </row>
    <row r="12" spans="1:54" x14ac:dyDescent="0.25">
      <c r="A12" s="1">
        <v>35612</v>
      </c>
      <c r="B12">
        <v>130437</v>
      </c>
      <c r="C12">
        <v>76544</v>
      </c>
      <c r="D12">
        <v>22122</v>
      </c>
      <c r="E12">
        <v>29504</v>
      </c>
      <c r="F12">
        <v>34916</v>
      </c>
      <c r="G12">
        <v>33845</v>
      </c>
      <c r="H12">
        <f>'[1]Sheet 1'!H12</f>
        <v>203766.343310553</v>
      </c>
      <c r="I12">
        <f>'[1]Sheet 1'!I12</f>
        <v>36328.892923621803</v>
      </c>
      <c r="J12">
        <f>'[1]Sheet 1'!J12</f>
        <v>118122.712943422</v>
      </c>
      <c r="K12">
        <f>'[1]Sheet 1'!K12</f>
        <v>41564.992686403202</v>
      </c>
      <c r="L12">
        <f>'[1]Sheet 1'!L12</f>
        <v>48310.406010445302</v>
      </c>
      <c r="M12">
        <f>'[1]Sheet 1'!M12</f>
        <v>44518.647787984497</v>
      </c>
      <c r="N12">
        <f t="shared" si="0"/>
        <v>3957.986534645177</v>
      </c>
      <c r="P12">
        <v>66.510000000000005</v>
      </c>
      <c r="R12">
        <f t="shared" si="3"/>
        <v>1.110001358785107</v>
      </c>
      <c r="S12">
        <f t="shared" si="4"/>
        <v>0.72628477204196862</v>
      </c>
      <c r="T12">
        <f t="shared" si="5"/>
        <v>0.36300828987842598</v>
      </c>
      <c r="U12">
        <f t="shared" si="6"/>
        <v>1.4778483216825273</v>
      </c>
      <c r="V12">
        <f t="shared" si="7"/>
        <v>7.6306960872649583</v>
      </c>
      <c r="W12">
        <f t="shared" si="8"/>
        <v>5.7659992345932176</v>
      </c>
      <c r="X12">
        <f t="shared" si="9"/>
        <v>-1.3852042916208012</v>
      </c>
      <c r="Y12">
        <f t="shared" si="10"/>
        <v>0.95117632178098876</v>
      </c>
      <c r="Z12">
        <f t="shared" si="36"/>
        <v>1.3562938128619331</v>
      </c>
      <c r="AA12">
        <f t="shared" si="11"/>
        <v>1</v>
      </c>
      <c r="AB12">
        <f t="shared" si="12"/>
        <v>0.17896619813837805</v>
      </c>
      <c r="AC12">
        <f t="shared" si="13"/>
        <v>0.58401151045430311</v>
      </c>
      <c r="AD12">
        <f t="shared" si="14"/>
        <v>0.20324418207745162</v>
      </c>
      <c r="AE12">
        <f t="shared" si="15"/>
        <v>0.2227235820449342</v>
      </c>
      <c r="AF12">
        <f t="shared" si="16"/>
        <v>0.20886109575141173</v>
      </c>
      <c r="AG12">
        <f t="shared" si="17"/>
        <v>1.9915623036344612E-2</v>
      </c>
      <c r="AJ12">
        <f t="shared" si="18"/>
        <v>0.90191832557853568</v>
      </c>
      <c r="AK12">
        <f t="shared" si="19"/>
        <v>7.3085295563783247E-4</v>
      </c>
      <c r="AL12">
        <f t="shared" si="20"/>
        <v>0.81229577557607169</v>
      </c>
      <c r="AM12">
        <f t="shared" si="21"/>
        <v>0.23830665352366118</v>
      </c>
      <c r="AN12">
        <f t="shared" si="22"/>
        <v>0.77863391024708073</v>
      </c>
      <c r="AO12">
        <f t="shared" si="23"/>
        <v>-0.42397970504465965</v>
      </c>
      <c r="AP12">
        <f t="shared" si="24"/>
        <v>-0.50406916167925953</v>
      </c>
      <c r="AQ12">
        <f t="shared" si="25"/>
        <v>0.90191832557853224</v>
      </c>
      <c r="AS12">
        <f t="shared" si="26"/>
        <v>1.0513332820553707</v>
      </c>
      <c r="AT12">
        <f t="shared" si="27"/>
        <v>0.35465420520242108</v>
      </c>
      <c r="AV12">
        <f t="shared" si="29"/>
        <v>3.5518816020339932</v>
      </c>
      <c r="AW12">
        <f t="shared" si="30"/>
        <v>1.4171820673426037</v>
      </c>
      <c r="AX12">
        <f t="shared" si="31"/>
        <v>2.2902536138107492</v>
      </c>
      <c r="AY12">
        <f t="shared" si="32"/>
        <v>5.2603415826234272</v>
      </c>
      <c r="AZ12">
        <f t="shared" si="33"/>
        <v>17.369117527161158</v>
      </c>
      <c r="BA12">
        <f t="shared" si="34"/>
        <v>11.660301977497348</v>
      </c>
      <c r="BB12">
        <f t="shared" si="35"/>
        <v>-15.763693807982909</v>
      </c>
    </row>
    <row r="13" spans="1:54" x14ac:dyDescent="0.25">
      <c r="A13" s="1">
        <v>35704</v>
      </c>
      <c r="B13">
        <v>134781</v>
      </c>
      <c r="C13">
        <v>80645</v>
      </c>
      <c r="D13">
        <v>22278</v>
      </c>
      <c r="E13">
        <v>30551</v>
      </c>
      <c r="F13">
        <v>35419</v>
      </c>
      <c r="G13">
        <v>35323</v>
      </c>
      <c r="H13">
        <f>'[1]Sheet 1'!H13</f>
        <v>206628.34355228601</v>
      </c>
      <c r="I13">
        <f>'[1]Sheet 1'!I13</f>
        <v>37897.5716533663</v>
      </c>
      <c r="J13">
        <f>'[1]Sheet 1'!J13</f>
        <v>117965.89974749699</v>
      </c>
      <c r="K13">
        <f>'[1]Sheet 1'!K13</f>
        <v>42538.029756381198</v>
      </c>
      <c r="L13">
        <f>'[1]Sheet 1'!L13</f>
        <v>48102.943710528998</v>
      </c>
      <c r="M13">
        <f>'[1]Sheet 1'!M13</f>
        <v>47233.889538127398</v>
      </c>
      <c r="N13">
        <f t="shared" si="0"/>
        <v>7357.7882226399306</v>
      </c>
      <c r="P13">
        <v>66.856666666666698</v>
      </c>
      <c r="R13">
        <f t="shared" si="3"/>
        <v>1.4045500327652924</v>
      </c>
      <c r="S13">
        <f t="shared" si="4"/>
        <v>4.3179921090425228</v>
      </c>
      <c r="T13">
        <f t="shared" si="5"/>
        <v>-0.1327544821969269</v>
      </c>
      <c r="U13">
        <f t="shared" si="6"/>
        <v>2.3410014223250357</v>
      </c>
      <c r="V13">
        <f t="shared" si="7"/>
        <v>-0.42943605125456408</v>
      </c>
      <c r="W13">
        <f t="shared" si="8"/>
        <v>6.0991110131510773</v>
      </c>
      <c r="X13">
        <f t="shared" si="9"/>
        <v>85.897252510474658</v>
      </c>
      <c r="Y13">
        <f t="shared" si="10"/>
        <v>0.52122487846443</v>
      </c>
      <c r="Z13">
        <f t="shared" si="36"/>
        <v>1.6831432192649394</v>
      </c>
      <c r="AA13">
        <f t="shared" si="11"/>
        <v>1</v>
      </c>
      <c r="AB13">
        <f t="shared" si="12"/>
        <v>0.17828701410347358</v>
      </c>
      <c r="AC13">
        <f t="shared" si="13"/>
        <v>0.57969687743473608</v>
      </c>
      <c r="AD13">
        <f t="shared" si="14"/>
        <v>0.20398360205667274</v>
      </c>
      <c r="AE13">
        <f t="shared" si="15"/>
        <v>0.23708726978928577</v>
      </c>
      <c r="AF13">
        <f t="shared" si="16"/>
        <v>0.21847890610735071</v>
      </c>
      <c r="AG13">
        <f t="shared" si="17"/>
        <v>1.942414272318246E-2</v>
      </c>
      <c r="AJ13">
        <f t="shared" si="18"/>
        <v>1.110001358785107</v>
      </c>
      <c r="AK13">
        <f t="shared" si="19"/>
        <v>0.12998042441814969</v>
      </c>
      <c r="AL13">
        <f t="shared" si="20"/>
        <v>0.21200101967933307</v>
      </c>
      <c r="AM13">
        <f t="shared" si="21"/>
        <v>0.3003640733748999</v>
      </c>
      <c r="AN13">
        <f t="shared" si="22"/>
        <v>1.6995359660519154</v>
      </c>
      <c r="AO13">
        <f t="shared" si="23"/>
        <v>-1.2042929182389408</v>
      </c>
      <c r="AP13">
        <f t="shared" si="24"/>
        <v>-2.7587206500246646E-2</v>
      </c>
      <c r="AQ13">
        <f t="shared" si="25"/>
        <v>1.1100013587851103</v>
      </c>
      <c r="AS13">
        <f t="shared" si="26"/>
        <v>0.64234551747238267</v>
      </c>
      <c r="AT13">
        <f t="shared" si="27"/>
        <v>0.49524304781297457</v>
      </c>
      <c r="AV13">
        <f t="shared" si="29"/>
        <v>4.486613961907377</v>
      </c>
      <c r="AW13">
        <f t="shared" si="30"/>
        <v>5.568366348451919</v>
      </c>
      <c r="AX13">
        <f t="shared" si="31"/>
        <v>1.650608063054211</v>
      </c>
      <c r="AY13">
        <f t="shared" si="32"/>
        <v>7.7069673393974858</v>
      </c>
      <c r="AZ13">
        <f t="shared" si="33"/>
        <v>15.091616569216798</v>
      </c>
      <c r="BA13">
        <f t="shared" si="34"/>
        <v>18.263693112138739</v>
      </c>
      <c r="BB13">
        <f t="shared" si="35"/>
        <v>65.093866178691428</v>
      </c>
    </row>
    <row r="14" spans="1:54" x14ac:dyDescent="0.25">
      <c r="A14" s="1">
        <v>35796</v>
      </c>
      <c r="B14">
        <v>134360</v>
      </c>
      <c r="C14">
        <v>79004</v>
      </c>
      <c r="D14">
        <v>22696</v>
      </c>
      <c r="E14">
        <v>31548</v>
      </c>
      <c r="F14">
        <v>35501</v>
      </c>
      <c r="G14">
        <v>35613</v>
      </c>
      <c r="H14">
        <f>'[1]Sheet 1'!H14</f>
        <v>208368.46680046601</v>
      </c>
      <c r="I14">
        <f>'[1]Sheet 1'!I14</f>
        <v>37301.7242424824</v>
      </c>
      <c r="J14">
        <f>'[1]Sheet 1'!J14</f>
        <v>119176.18645024901</v>
      </c>
      <c r="K14">
        <f>'[1]Sheet 1'!K14</f>
        <v>44191.103848181701</v>
      </c>
      <c r="L14">
        <f>'[1]Sheet 1'!L14</f>
        <v>48686.4368070583</v>
      </c>
      <c r="M14">
        <f>'[1]Sheet 1'!M14</f>
        <v>46566.976579199298</v>
      </c>
      <c r="N14">
        <f t="shared" si="0"/>
        <v>5579.9920316939169</v>
      </c>
      <c r="P14">
        <v>66.900000000000006</v>
      </c>
      <c r="R14">
        <f t="shared" si="3"/>
        <v>0.84215128392570637</v>
      </c>
      <c r="S14">
        <f t="shared" si="4"/>
        <v>-1.5722574953716675</v>
      </c>
      <c r="T14">
        <f t="shared" si="5"/>
        <v>1.025963185414259</v>
      </c>
      <c r="U14">
        <f t="shared" si="6"/>
        <v>3.8861087390925122</v>
      </c>
      <c r="V14">
        <f t="shared" si="7"/>
        <v>1.2130091248481842</v>
      </c>
      <c r="W14">
        <f t="shared" si="8"/>
        <v>-1.4119374149566175</v>
      </c>
      <c r="X14">
        <f t="shared" si="9"/>
        <v>-24.162100581744536</v>
      </c>
      <c r="Y14">
        <f t="shared" si="10"/>
        <v>6.4815276462045338E-2</v>
      </c>
      <c r="Z14">
        <f t="shared" si="36"/>
        <v>1.543131798634013</v>
      </c>
      <c r="AA14">
        <f t="shared" si="11"/>
        <v>1</v>
      </c>
      <c r="AB14">
        <f t="shared" si="12"/>
        <v>0.18340935711840789</v>
      </c>
      <c r="AC14">
        <f t="shared" si="13"/>
        <v>0.57090860682259914</v>
      </c>
      <c r="AD14">
        <f t="shared" si="14"/>
        <v>0.20586735113431917</v>
      </c>
      <c r="AE14">
        <f t="shared" si="15"/>
        <v>0.23279934825764526</v>
      </c>
      <c r="AF14">
        <f t="shared" si="16"/>
        <v>0.22859346750836804</v>
      </c>
      <c r="AG14">
        <f t="shared" si="17"/>
        <v>3.5608804175396629E-2</v>
      </c>
      <c r="AJ14">
        <f t="shared" si="18"/>
        <v>1.4045500327652924</v>
      </c>
      <c r="AK14">
        <f t="shared" si="19"/>
        <v>0.7698419200435519</v>
      </c>
      <c r="AL14">
        <f t="shared" si="20"/>
        <v>-7.6957358795023786E-2</v>
      </c>
      <c r="AM14">
        <f t="shared" si="21"/>
        <v>0.47752590254565497</v>
      </c>
      <c r="AN14">
        <f t="shared" si="22"/>
        <v>-0.10181382094103639</v>
      </c>
      <c r="AO14">
        <f t="shared" si="23"/>
        <v>-1.3325271023805429</v>
      </c>
      <c r="AP14">
        <f t="shared" si="24"/>
        <v>1.6684804922927026</v>
      </c>
      <c r="AQ14">
        <f t="shared" si="25"/>
        <v>1.4045500327653062</v>
      </c>
      <c r="AS14">
        <f t="shared" si="26"/>
        <v>1.170410463794183</v>
      </c>
      <c r="AT14">
        <f t="shared" si="27"/>
        <v>-1.4343409233215794</v>
      </c>
      <c r="AV14">
        <f t="shared" si="29"/>
        <v>4.3261266558494906</v>
      </c>
      <c r="AW14">
        <f t="shared" si="30"/>
        <v>3.4277641848646416</v>
      </c>
      <c r="AX14">
        <f t="shared" si="31"/>
        <v>2.6734016116600623</v>
      </c>
      <c r="AY14">
        <f t="shared" si="32"/>
        <v>9.1577536315725698</v>
      </c>
      <c r="AZ14">
        <f t="shared" si="33"/>
        <v>12.361460569508408</v>
      </c>
      <c r="BA14">
        <f t="shared" si="34"/>
        <v>12.903769406605489</v>
      </c>
      <c r="BB14">
        <f t="shared" si="35"/>
        <v>11.147470032903236</v>
      </c>
    </row>
    <row r="15" spans="1:54" x14ac:dyDescent="0.25">
      <c r="A15" s="1">
        <v>35886</v>
      </c>
      <c r="B15">
        <v>137521</v>
      </c>
      <c r="C15">
        <v>80636</v>
      </c>
      <c r="D15">
        <v>23079</v>
      </c>
      <c r="E15">
        <v>32354</v>
      </c>
      <c r="F15">
        <v>36744</v>
      </c>
      <c r="G15">
        <v>36531</v>
      </c>
      <c r="H15">
        <f>'[1]Sheet 1'!H15</f>
        <v>210656.542551033</v>
      </c>
      <c r="I15">
        <f>'[1]Sheet 1'!I15</f>
        <v>37785.785518275603</v>
      </c>
      <c r="J15">
        <f>'[1]Sheet 1'!J15</f>
        <v>120180.527885246</v>
      </c>
      <c r="K15">
        <f>'[1]Sheet 1'!K15</f>
        <v>44976.629612534103</v>
      </c>
      <c r="L15">
        <f>'[1]Sheet 1'!L15</f>
        <v>50549.897432104503</v>
      </c>
      <c r="M15">
        <f>'[1]Sheet 1'!M15</f>
        <v>48913.028529249001</v>
      </c>
      <c r="N15">
        <f t="shared" si="0"/>
        <v>6076.7306321217693</v>
      </c>
      <c r="P15">
        <v>67.246666666666698</v>
      </c>
      <c r="R15">
        <f t="shared" si="3"/>
        <v>1.0980911774707518</v>
      </c>
      <c r="S15">
        <f t="shared" si="4"/>
        <v>1.2976914221083449</v>
      </c>
      <c r="T15">
        <f t="shared" si="5"/>
        <v>0.84273667828452214</v>
      </c>
      <c r="U15">
        <f t="shared" si="6"/>
        <v>1.7775653829582339</v>
      </c>
      <c r="V15">
        <f t="shared" si="7"/>
        <v>3.8274738248580298</v>
      </c>
      <c r="W15">
        <f t="shared" si="8"/>
        <v>5.0380164708774453</v>
      </c>
      <c r="X15">
        <f t="shared" si="9"/>
        <v>8.9021381680550107</v>
      </c>
      <c r="Y15">
        <f t="shared" si="10"/>
        <v>0.51818634778279882</v>
      </c>
      <c r="Z15">
        <f t="shared" si="36"/>
        <v>1.1076028667368711</v>
      </c>
      <c r="AA15">
        <f t="shared" si="11"/>
        <v>1</v>
      </c>
      <c r="AB15">
        <f t="shared" si="12"/>
        <v>0.17901808663881275</v>
      </c>
      <c r="AC15">
        <f t="shared" si="13"/>
        <v>0.5719492410738537</v>
      </c>
      <c r="AD15">
        <f t="shared" si="14"/>
        <v>0.21208153290535645</v>
      </c>
      <c r="AE15">
        <f t="shared" si="15"/>
        <v>0.23365549286150153</v>
      </c>
      <c r="AF15">
        <f t="shared" si="16"/>
        <v>0.22348379912874203</v>
      </c>
      <c r="AG15">
        <f t="shared" si="17"/>
        <v>2.6779445649217772E-2</v>
      </c>
      <c r="AJ15">
        <f t="shared" si="18"/>
        <v>0.84215128392570637</v>
      </c>
      <c r="AK15">
        <f t="shared" si="19"/>
        <v>-0.2883667364507157</v>
      </c>
      <c r="AL15">
        <f t="shared" si="20"/>
        <v>0.58573121283613061</v>
      </c>
      <c r="AM15">
        <f t="shared" si="21"/>
        <v>0.80002291233690448</v>
      </c>
      <c r="AN15">
        <f t="shared" si="22"/>
        <v>0.28238773369523396</v>
      </c>
      <c r="AO15">
        <f t="shared" si="23"/>
        <v>0.32275966958973468</v>
      </c>
      <c r="AP15">
        <f t="shared" si="24"/>
        <v>-0.86038350808157815</v>
      </c>
      <c r="AQ15">
        <f t="shared" si="25"/>
        <v>0.84215128392571004</v>
      </c>
      <c r="AS15">
        <f t="shared" si="26"/>
        <v>1.0973873887223193</v>
      </c>
      <c r="AT15">
        <f t="shared" si="27"/>
        <v>0.60514740328496863</v>
      </c>
      <c r="AV15">
        <f t="shared" si="29"/>
        <v>4.5289568312571511</v>
      </c>
      <c r="AW15">
        <f t="shared" si="30"/>
        <v>4.7656971119638269</v>
      </c>
      <c r="AX15">
        <f t="shared" si="31"/>
        <v>2.1114315432813573</v>
      </c>
      <c r="AY15">
        <f t="shared" si="32"/>
        <v>9.8071069632175245</v>
      </c>
      <c r="AZ15">
        <f t="shared" si="33"/>
        <v>12.620056361788897</v>
      </c>
      <c r="BA15">
        <f t="shared" si="34"/>
        <v>16.206030394805925</v>
      </c>
      <c r="BB15">
        <f t="shared" si="35"/>
        <v>51.404140619508176</v>
      </c>
    </row>
    <row r="16" spans="1:54" x14ac:dyDescent="0.25">
      <c r="A16" s="1">
        <v>35977</v>
      </c>
      <c r="B16">
        <v>139798</v>
      </c>
      <c r="C16">
        <v>81659</v>
      </c>
      <c r="D16">
        <v>23510</v>
      </c>
      <c r="E16">
        <v>33994</v>
      </c>
      <c r="F16">
        <v>36539</v>
      </c>
      <c r="G16">
        <v>37171</v>
      </c>
      <c r="H16">
        <f>'[1]Sheet 1'!H16</f>
        <v>212663.160988421</v>
      </c>
      <c r="I16">
        <f>'[1]Sheet 1'!I16</f>
        <v>38137.624609007697</v>
      </c>
      <c r="J16">
        <f>'[1]Sheet 1'!J16</f>
        <v>121499.724013889</v>
      </c>
      <c r="K16">
        <f>'[1]Sheet 1'!K16</f>
        <v>46752.418964594901</v>
      </c>
      <c r="L16">
        <f>'[1]Sheet 1'!L16</f>
        <v>50202.6927949573</v>
      </c>
      <c r="M16">
        <f>'[1]Sheet 1'!M16</f>
        <v>50224.940190975598</v>
      </c>
      <c r="N16">
        <f t="shared" si="0"/>
        <v>6295.6407969477077</v>
      </c>
      <c r="P16">
        <v>67.650000000000006</v>
      </c>
      <c r="R16">
        <f t="shared" si="3"/>
        <v>0.95255452932438234</v>
      </c>
      <c r="S16">
        <f t="shared" si="4"/>
        <v>0.93114139591440259</v>
      </c>
      <c r="T16">
        <f t="shared" si="5"/>
        <v>1.0976787603251599</v>
      </c>
      <c r="U16">
        <f t="shared" si="6"/>
        <v>3.9482490514716564</v>
      </c>
      <c r="V16">
        <f t="shared" si="7"/>
        <v>-0.68685527525262779</v>
      </c>
      <c r="W16">
        <f t="shared" si="8"/>
        <v>2.6821313281431771</v>
      </c>
      <c r="X16">
        <f t="shared" si="9"/>
        <v>3.6024332503529628</v>
      </c>
      <c r="Y16">
        <f t="shared" si="10"/>
        <v>0.59978189749178257</v>
      </c>
      <c r="Z16">
        <f t="shared" si="36"/>
        <v>1.1866181383057901</v>
      </c>
      <c r="AA16">
        <f t="shared" si="11"/>
        <v>1</v>
      </c>
      <c r="AB16">
        <f t="shared" si="12"/>
        <v>0.17937152609025536</v>
      </c>
      <c r="AC16">
        <f t="shared" si="13"/>
        <v>0.57050460636004907</v>
      </c>
      <c r="AD16">
        <f t="shared" si="14"/>
        <v>0.21350692016431536</v>
      </c>
      <c r="AE16">
        <f t="shared" si="15"/>
        <v>0.23996357682486147</v>
      </c>
      <c r="AF16">
        <f t="shared" si="16"/>
        <v>0.23219325607890617</v>
      </c>
      <c r="AG16">
        <f t="shared" si="17"/>
        <v>2.8846626639424881E-2</v>
      </c>
      <c r="AJ16">
        <f t="shared" si="18"/>
        <v>1.0980911774707518</v>
      </c>
      <c r="AK16">
        <f t="shared" si="19"/>
        <v>0.23231023543343579</v>
      </c>
      <c r="AL16">
        <f t="shared" si="20"/>
        <v>0.48200260356993285</v>
      </c>
      <c r="AM16">
        <f t="shared" si="21"/>
        <v>0.37698879125727919</v>
      </c>
      <c r="AN16">
        <f t="shared" si="22"/>
        <v>0.89431028296169934</v>
      </c>
      <c r="AO16">
        <f t="shared" si="23"/>
        <v>-1.1259150609848687</v>
      </c>
      <c r="AP16">
        <f t="shared" si="24"/>
        <v>0.23839432523325624</v>
      </c>
      <c r="AQ16">
        <f t="shared" si="25"/>
        <v>1.0980911774707347</v>
      </c>
      <c r="AS16">
        <f t="shared" si="26"/>
        <v>1.0913016302606477</v>
      </c>
      <c r="AT16">
        <f t="shared" si="27"/>
        <v>-0.23160477802316937</v>
      </c>
      <c r="AV16">
        <f t="shared" si="29"/>
        <v>4.3661860606237033</v>
      </c>
      <c r="AW16">
        <f t="shared" si="30"/>
        <v>4.9787690728384923</v>
      </c>
      <c r="AX16">
        <f t="shared" si="31"/>
        <v>2.8589007027670594</v>
      </c>
      <c r="AY16">
        <f t="shared" si="32"/>
        <v>12.480277134485378</v>
      </c>
      <c r="AZ16">
        <f t="shared" si="33"/>
        <v>3.9169341365147345</v>
      </c>
      <c r="BA16">
        <f t="shared" si="34"/>
        <v>12.817757695981097</v>
      </c>
      <c r="BB16">
        <f t="shared" si="35"/>
        <v>59.061703263528031</v>
      </c>
    </row>
    <row r="17" spans="1:54" x14ac:dyDescent="0.25">
      <c r="A17" s="1">
        <v>36069</v>
      </c>
      <c r="B17">
        <v>143880</v>
      </c>
      <c r="C17">
        <v>85394</v>
      </c>
      <c r="D17">
        <v>23979</v>
      </c>
      <c r="E17">
        <v>35073</v>
      </c>
      <c r="F17">
        <v>36494</v>
      </c>
      <c r="G17">
        <v>38355</v>
      </c>
      <c r="H17">
        <f>'[1]Sheet 1'!H17</f>
        <v>214880.942986749</v>
      </c>
      <c r="I17">
        <f>'[1]Sheet 1'!I17</f>
        <v>39631.575202109801</v>
      </c>
      <c r="J17">
        <f>'[1]Sheet 1'!J17</f>
        <v>122968.772961614</v>
      </c>
      <c r="K17">
        <f>'[1]Sheet 1'!K17</f>
        <v>47923.896793633598</v>
      </c>
      <c r="L17">
        <f>'[1]Sheet 1'!L17</f>
        <v>50197.0996595385</v>
      </c>
      <c r="M17">
        <f>'[1]Sheet 1'!M17</f>
        <v>53971.542062619199</v>
      </c>
      <c r="N17">
        <f t="shared" si="0"/>
        <v>8131.1404324722607</v>
      </c>
      <c r="P17">
        <v>67.783333333333303</v>
      </c>
      <c r="R17">
        <f t="shared" si="3"/>
        <v>1.0428613907646866</v>
      </c>
      <c r="S17">
        <f t="shared" si="4"/>
        <v>3.9172617812941866</v>
      </c>
      <c r="T17">
        <f t="shared" si="5"/>
        <v>1.2090965305872319</v>
      </c>
      <c r="U17">
        <f t="shared" si="6"/>
        <v>2.5057052768239525</v>
      </c>
      <c r="V17">
        <f t="shared" si="7"/>
        <v>-1.1141106397705942E-2</v>
      </c>
      <c r="W17">
        <f t="shared" si="8"/>
        <v>7.4596442671658751</v>
      </c>
      <c r="X17">
        <f t="shared" si="9"/>
        <v>29.155088333731676</v>
      </c>
      <c r="Y17">
        <f t="shared" si="10"/>
        <v>0.19709288001965608</v>
      </c>
      <c r="Z17">
        <f t="shared" si="36"/>
        <v>1.3203786746387103</v>
      </c>
      <c r="AA17">
        <f t="shared" si="11"/>
        <v>1</v>
      </c>
      <c r="AB17">
        <f t="shared" si="12"/>
        <v>0.17933347944115341</v>
      </c>
      <c r="AC17">
        <f t="shared" si="13"/>
        <v>0.57132473461402355</v>
      </c>
      <c r="AD17">
        <f t="shared" si="14"/>
        <v>0.21984258461737272</v>
      </c>
      <c r="AE17">
        <f t="shared" si="15"/>
        <v>0.23606671019853182</v>
      </c>
      <c r="AF17">
        <f t="shared" si="16"/>
        <v>0.23617132350304068</v>
      </c>
      <c r="AG17">
        <f t="shared" si="17"/>
        <v>2.9603814631959175E-2</v>
      </c>
      <c r="AJ17">
        <f t="shared" si="18"/>
        <v>0.95255452932438234</v>
      </c>
      <c r="AK17">
        <f t="shared" si="19"/>
        <v>0.16702025319097707</v>
      </c>
      <c r="AL17">
        <f t="shared" si="20"/>
        <v>0.62623078906909202</v>
      </c>
      <c r="AM17">
        <f t="shared" si="21"/>
        <v>0.84297849502139277</v>
      </c>
      <c r="AN17">
        <f t="shared" si="22"/>
        <v>-0.16482024861064531</v>
      </c>
      <c r="AO17">
        <f t="shared" si="23"/>
        <v>-0.6227728063128054</v>
      </c>
      <c r="AP17">
        <f t="shared" si="24"/>
        <v>0.10391804696638174</v>
      </c>
      <c r="AQ17">
        <f t="shared" si="25"/>
        <v>0.95255452932439288</v>
      </c>
      <c r="AS17">
        <f t="shared" si="26"/>
        <v>1.6362295372814619</v>
      </c>
      <c r="AT17">
        <f t="shared" si="27"/>
        <v>-0.78759305492345066</v>
      </c>
      <c r="AV17">
        <f t="shared" si="29"/>
        <v>3.9939338875717789</v>
      </c>
      <c r="AW17">
        <f t="shared" si="30"/>
        <v>4.5755004162370296</v>
      </c>
      <c r="AX17">
        <f t="shared" si="31"/>
        <v>4.2409486341608265</v>
      </c>
      <c r="AY17">
        <f t="shared" si="32"/>
        <v>12.66129876747396</v>
      </c>
      <c r="AZ17">
        <f t="shared" si="33"/>
        <v>4.3534881391284248</v>
      </c>
      <c r="BA17">
        <f t="shared" si="34"/>
        <v>14.264445698576525</v>
      </c>
      <c r="BB17">
        <f t="shared" si="35"/>
        <v>10.510661443784473</v>
      </c>
    </row>
    <row r="18" spans="1:54" x14ac:dyDescent="0.25">
      <c r="A18" s="1">
        <v>36161</v>
      </c>
      <c r="B18">
        <v>144820</v>
      </c>
      <c r="C18">
        <v>84188</v>
      </c>
      <c r="D18">
        <v>24397</v>
      </c>
      <c r="E18">
        <v>36271</v>
      </c>
      <c r="F18">
        <v>37488</v>
      </c>
      <c r="G18">
        <v>38853</v>
      </c>
      <c r="H18">
        <f>'[1]Sheet 1'!H18</f>
        <v>216997.37776799599</v>
      </c>
      <c r="I18">
        <f>'[1]Sheet 1'!I18</f>
        <v>39028.1937635871</v>
      </c>
      <c r="J18">
        <f>'[1]Sheet 1'!J18</f>
        <v>124074.03986082799</v>
      </c>
      <c r="K18">
        <f>'[1]Sheet 1'!K18</f>
        <v>48358.273684569103</v>
      </c>
      <c r="L18">
        <f>'[1]Sheet 1'!L18</f>
        <v>52634.674123258003</v>
      </c>
      <c r="M18">
        <f>'[1]Sheet 1'!M18</f>
        <v>53302.993711442701</v>
      </c>
      <c r="N18">
        <f t="shared" si="0"/>
        <v>6205.1900471964764</v>
      </c>
      <c r="P18">
        <v>68.3</v>
      </c>
      <c r="R18">
        <f t="shared" si="3"/>
        <v>0.98493368086973954</v>
      </c>
      <c r="S18">
        <f t="shared" si="4"/>
        <v>-1.5224765491798578</v>
      </c>
      <c r="T18">
        <f t="shared" si="5"/>
        <v>0.89881916570722864</v>
      </c>
      <c r="U18">
        <f t="shared" si="6"/>
        <v>0.90638892076324251</v>
      </c>
      <c r="V18">
        <f t="shared" si="7"/>
        <v>4.8560065825562333</v>
      </c>
      <c r="W18">
        <f t="shared" si="8"/>
        <v>-1.2387052984345537</v>
      </c>
      <c r="X18">
        <f t="shared" si="9"/>
        <v>-23.686104074458868</v>
      </c>
      <c r="Y18">
        <f t="shared" si="10"/>
        <v>0.76223260388496838</v>
      </c>
      <c r="Z18">
        <f t="shared" si="36"/>
        <v>1.5663725587389192</v>
      </c>
      <c r="AA18">
        <f t="shared" si="11"/>
        <v>1</v>
      </c>
      <c r="AB18">
        <f t="shared" si="12"/>
        <v>0.1844350394746441</v>
      </c>
      <c r="AC18">
        <f t="shared" si="13"/>
        <v>0.5722646748120287</v>
      </c>
      <c r="AD18">
        <f t="shared" si="14"/>
        <v>0.22302534662922113</v>
      </c>
      <c r="AE18">
        <f t="shared" si="15"/>
        <v>0.23360424131531288</v>
      </c>
      <c r="AF18">
        <f t="shared" si="16"/>
        <v>0.25116951420837469</v>
      </c>
      <c r="AG18">
        <f t="shared" si="17"/>
        <v>3.7840211977167658E-2</v>
      </c>
      <c r="AJ18">
        <f t="shared" si="18"/>
        <v>1.0428613907646866</v>
      </c>
      <c r="AK18">
        <f t="shared" si="19"/>
        <v>0.70249618512133694</v>
      </c>
      <c r="AL18">
        <f t="shared" si="20"/>
        <v>0.69078675446048687</v>
      </c>
      <c r="AM18">
        <f t="shared" si="21"/>
        <v>0.55086072434636713</v>
      </c>
      <c r="AN18">
        <f t="shared" si="22"/>
        <v>-2.6300443352782576E-3</v>
      </c>
      <c r="AO18">
        <f t="shared" si="23"/>
        <v>-1.7617540594384347</v>
      </c>
      <c r="AP18">
        <f t="shared" si="24"/>
        <v>0.86310183061018808</v>
      </c>
      <c r="AQ18">
        <f t="shared" si="25"/>
        <v>1.0428613907646662</v>
      </c>
      <c r="AS18">
        <f t="shared" si="26"/>
        <v>1.944143663928191</v>
      </c>
      <c r="AT18">
        <f t="shared" si="27"/>
        <v>-1.7643841037737129</v>
      </c>
      <c r="AV18">
        <f t="shared" si="29"/>
        <v>4.1411788933462006</v>
      </c>
      <c r="AW18">
        <f t="shared" si="30"/>
        <v>4.6283906606613341</v>
      </c>
      <c r="AX18">
        <f t="shared" si="31"/>
        <v>4.1097584647278786</v>
      </c>
      <c r="AY18">
        <f t="shared" si="32"/>
        <v>9.4298840117316178</v>
      </c>
      <c r="AZ18">
        <f t="shared" si="33"/>
        <v>8.1095220252949538</v>
      </c>
      <c r="BA18">
        <f t="shared" si="34"/>
        <v>14.465223269943342</v>
      </c>
      <c r="BB18">
        <f t="shared" si="35"/>
        <v>11.204281510645243</v>
      </c>
    </row>
    <row r="19" spans="1:54" x14ac:dyDescent="0.25">
      <c r="A19" s="1">
        <v>36251</v>
      </c>
      <c r="B19">
        <v>146934</v>
      </c>
      <c r="C19">
        <v>86173</v>
      </c>
      <c r="D19">
        <v>24759</v>
      </c>
      <c r="E19">
        <v>37538</v>
      </c>
      <c r="F19">
        <v>38160</v>
      </c>
      <c r="G19">
        <v>41053</v>
      </c>
      <c r="H19">
        <f>'[1]Sheet 1'!H19</f>
        <v>219484.195693566</v>
      </c>
      <c r="I19">
        <f>'[1]Sheet 1'!I19</f>
        <v>39768.882855827003</v>
      </c>
      <c r="J19">
        <f>'[1]Sheet 1'!J19</f>
        <v>125147.985064252</v>
      </c>
      <c r="K19">
        <f>'[1]Sheet 1'!K19</f>
        <v>50487.014351422098</v>
      </c>
      <c r="L19">
        <f>'[1]Sheet 1'!L19</f>
        <v>53026.365699043497</v>
      </c>
      <c r="M19">
        <f>'[1]Sheet 1'!M19</f>
        <v>56216.9356197753</v>
      </c>
      <c r="N19">
        <f t="shared" si="0"/>
        <v>7270.8833427967329</v>
      </c>
      <c r="P19">
        <v>68.67</v>
      </c>
      <c r="R19">
        <f t="shared" si="3"/>
        <v>1.1460128924824173</v>
      </c>
      <c r="S19">
        <f t="shared" si="4"/>
        <v>1.8978308264190249</v>
      </c>
      <c r="T19">
        <f t="shared" si="5"/>
        <v>0.86556801457310306</v>
      </c>
      <c r="U19">
        <f t="shared" si="6"/>
        <v>4.4020195607856571</v>
      </c>
      <c r="V19">
        <f t="shared" si="7"/>
        <v>0.74417023057508735</v>
      </c>
      <c r="W19">
        <f t="shared" si="8"/>
        <v>5.4667509373062764</v>
      </c>
      <c r="X19">
        <f t="shared" si="9"/>
        <v>17.174224922921418</v>
      </c>
      <c r="Y19">
        <f t="shared" si="10"/>
        <v>0.54172767203514582</v>
      </c>
      <c r="Z19">
        <f t="shared" si="36"/>
        <v>1.5077605321507699</v>
      </c>
      <c r="AA19">
        <f t="shared" si="11"/>
        <v>1</v>
      </c>
      <c r="AB19">
        <f t="shared" si="12"/>
        <v>0.17985560086036764</v>
      </c>
      <c r="AC19">
        <f t="shared" si="13"/>
        <v>0.57177667830383871</v>
      </c>
      <c r="AD19">
        <f t="shared" si="14"/>
        <v>0.22285188043272869</v>
      </c>
      <c r="AE19">
        <f t="shared" si="15"/>
        <v>0.24255903303832857</v>
      </c>
      <c r="AF19">
        <f t="shared" si="16"/>
        <v>0.24563888402574113</v>
      </c>
      <c r="AG19">
        <f t="shared" si="17"/>
        <v>2.85956913904775E-2</v>
      </c>
      <c r="AJ19">
        <f t="shared" si="18"/>
        <v>0.98493368086973954</v>
      </c>
      <c r="AK19">
        <f t="shared" si="19"/>
        <v>-0.28079802244720697</v>
      </c>
      <c r="AL19">
        <f t="shared" si="20"/>
        <v>0.51436245757826615</v>
      </c>
      <c r="AM19">
        <f t="shared" si="21"/>
        <v>0.2021477032341078</v>
      </c>
      <c r="AN19">
        <f t="shared" si="22"/>
        <v>1.134383733540214</v>
      </c>
      <c r="AO19">
        <f t="shared" si="23"/>
        <v>0.31112500805514665</v>
      </c>
      <c r="AP19">
        <f t="shared" si="24"/>
        <v>-0.89628719909077814</v>
      </c>
      <c r="AQ19">
        <f t="shared" si="25"/>
        <v>0.98493368086974953</v>
      </c>
      <c r="AS19">
        <f t="shared" si="26"/>
        <v>0.43571213836516698</v>
      </c>
      <c r="AT19">
        <f t="shared" si="27"/>
        <v>1.4455087415953607</v>
      </c>
      <c r="AV19">
        <f t="shared" si="29"/>
        <v>4.1905430686514009</v>
      </c>
      <c r="AW19">
        <f t="shared" si="30"/>
        <v>5.2482628331022756</v>
      </c>
      <c r="AX19">
        <f t="shared" si="31"/>
        <v>4.1333294722662233</v>
      </c>
      <c r="AY19">
        <f t="shared" si="32"/>
        <v>12.251662221822773</v>
      </c>
      <c r="AZ19">
        <f t="shared" si="33"/>
        <v>4.8990569570694653</v>
      </c>
      <c r="BA19">
        <f t="shared" si="34"/>
        <v>14.93243683767958</v>
      </c>
      <c r="BB19">
        <f t="shared" si="35"/>
        <v>19.651236544246981</v>
      </c>
    </row>
    <row r="20" spans="1:54" x14ac:dyDescent="0.25">
      <c r="A20" s="1">
        <v>36342</v>
      </c>
      <c r="B20">
        <v>149761</v>
      </c>
      <c r="C20">
        <v>88351</v>
      </c>
      <c r="D20">
        <v>24943</v>
      </c>
      <c r="E20">
        <v>38595</v>
      </c>
      <c r="F20">
        <v>39911</v>
      </c>
      <c r="G20">
        <v>43408</v>
      </c>
      <c r="H20">
        <f>'[1]Sheet 1'!H20</f>
        <v>222470.974403128</v>
      </c>
      <c r="I20">
        <f>'[1]Sheet 1'!I20</f>
        <v>40317.689681641103</v>
      </c>
      <c r="J20">
        <f>'[1]Sheet 1'!J20</f>
        <v>124717.465284839</v>
      </c>
      <c r="K20">
        <f>'[1]Sheet 1'!K20</f>
        <v>51529.278946834602</v>
      </c>
      <c r="L20">
        <f>'[1]Sheet 1'!L20</f>
        <v>54436.180017512197</v>
      </c>
      <c r="M20">
        <f>'[1]Sheet 1'!M20</f>
        <v>57378.391194642201</v>
      </c>
      <c r="N20">
        <f t="shared" si="0"/>
        <v>8848.751666943288</v>
      </c>
      <c r="P20">
        <v>69.276666666666699</v>
      </c>
      <c r="R20">
        <f t="shared" si="3"/>
        <v>1.3608172106077321</v>
      </c>
      <c r="S20">
        <f t="shared" si="4"/>
        <v>1.3799905514159727</v>
      </c>
      <c r="T20">
        <f t="shared" si="5"/>
        <v>-0.34400855850134132</v>
      </c>
      <c r="U20">
        <f t="shared" si="6"/>
        <v>2.0644211364088032</v>
      </c>
      <c r="V20">
        <f t="shared" si="7"/>
        <v>2.6587044008828427</v>
      </c>
      <c r="W20">
        <f t="shared" si="8"/>
        <v>2.0660243431311085</v>
      </c>
      <c r="X20">
        <f t="shared" si="9"/>
        <v>21.701191585060293</v>
      </c>
      <c r="Y20">
        <f t="shared" si="10"/>
        <v>0.88345225959909346</v>
      </c>
      <c r="Z20">
        <f t="shared" si="36"/>
        <v>2.2030981067126585</v>
      </c>
      <c r="AA20">
        <f t="shared" si="11"/>
        <v>1</v>
      </c>
      <c r="AB20">
        <f t="shared" si="12"/>
        <v>0.18119246686604504</v>
      </c>
      <c r="AC20">
        <f t="shared" si="13"/>
        <v>0.57019132821288876</v>
      </c>
      <c r="AD20">
        <f t="shared" si="14"/>
        <v>0.23002573917399413</v>
      </c>
      <c r="AE20">
        <f t="shared" si="15"/>
        <v>0.2415953710538527</v>
      </c>
      <c r="AF20">
        <f t="shared" si="16"/>
        <v>0.25613204377714222</v>
      </c>
      <c r="AG20">
        <f t="shared" si="17"/>
        <v>3.3127138470361729E-2</v>
      </c>
      <c r="AJ20">
        <f t="shared" si="18"/>
        <v>1.1460128924824173</v>
      </c>
      <c r="AK20">
        <f t="shared" si="19"/>
        <v>0.34133550361692183</v>
      </c>
      <c r="AL20">
        <f t="shared" si="20"/>
        <v>0.49491160421865754</v>
      </c>
      <c r="AM20">
        <f t="shared" si="21"/>
        <v>0.98099833682273807</v>
      </c>
      <c r="AN20">
        <f t="shared" si="22"/>
        <v>0.18050521154420321</v>
      </c>
      <c r="AO20">
        <f t="shared" si="23"/>
        <v>-1.3428465994865881</v>
      </c>
      <c r="AP20">
        <f t="shared" si="24"/>
        <v>0.4911088357665081</v>
      </c>
      <c r="AQ20">
        <f t="shared" si="25"/>
        <v>1.1460128924824406</v>
      </c>
      <c r="AS20">
        <f t="shared" si="26"/>
        <v>1.8172454446583175</v>
      </c>
      <c r="AT20">
        <f t="shared" si="27"/>
        <v>-1.162341387942385</v>
      </c>
      <c r="AV20">
        <f t="shared" si="29"/>
        <v>4.6119005139968774</v>
      </c>
      <c r="AW20">
        <f t="shared" si="30"/>
        <v>5.7163105856322742</v>
      </c>
      <c r="AX20">
        <f t="shared" si="31"/>
        <v>2.6483527407701448</v>
      </c>
      <c r="AY20">
        <f t="shared" si="32"/>
        <v>10.217353642935919</v>
      </c>
      <c r="AZ20">
        <f t="shared" si="33"/>
        <v>8.4327891331361755</v>
      </c>
      <c r="BA20">
        <f t="shared" si="34"/>
        <v>14.242826325857791</v>
      </c>
      <c r="BB20">
        <f t="shared" si="35"/>
        <v>40.553629921729261</v>
      </c>
    </row>
    <row r="21" spans="1:54" x14ac:dyDescent="0.25">
      <c r="A21" s="1">
        <v>36434</v>
      </c>
      <c r="B21">
        <v>153727</v>
      </c>
      <c r="C21">
        <v>90863</v>
      </c>
      <c r="D21">
        <v>25458</v>
      </c>
      <c r="E21">
        <v>39665</v>
      </c>
      <c r="F21">
        <v>41524</v>
      </c>
      <c r="G21">
        <v>45182</v>
      </c>
      <c r="H21">
        <f>'[1]Sheet 1'!H21</f>
        <v>224940.854075146</v>
      </c>
      <c r="I21">
        <f>'[1]Sheet 1'!I21</f>
        <v>41098.120769675697</v>
      </c>
      <c r="J21">
        <f>'[1]Sheet 1'!J21</f>
        <v>125926.11425186299</v>
      </c>
      <c r="K21">
        <f>'[1]Sheet 1'!K21</f>
        <v>52825.963308607803</v>
      </c>
      <c r="L21">
        <f>'[1]Sheet 1'!L21</f>
        <v>55558.937416644199</v>
      </c>
      <c r="M21">
        <f>'[1]Sheet 1'!M21</f>
        <v>60107.124930835002</v>
      </c>
      <c r="N21">
        <f t="shared" si="0"/>
        <v>9638.8432591903038</v>
      </c>
      <c r="P21">
        <v>69.67</v>
      </c>
      <c r="R21">
        <f t="shared" si="3"/>
        <v>1.1102031079085655</v>
      </c>
      <c r="S21">
        <f t="shared" si="4"/>
        <v>1.9357038912623228</v>
      </c>
      <c r="T21">
        <f t="shared" si="5"/>
        <v>0.96910963052656252</v>
      </c>
      <c r="U21">
        <f t="shared" si="6"/>
        <v>2.5164030785508502</v>
      </c>
      <c r="V21">
        <f t="shared" si="7"/>
        <v>2.0625205493309959</v>
      </c>
      <c r="W21">
        <f t="shared" si="8"/>
        <v>4.7556818505702543</v>
      </c>
      <c r="X21">
        <f t="shared" si="9"/>
        <v>8.9288480678986559</v>
      </c>
      <c r="Y21">
        <f t="shared" si="10"/>
        <v>0.56777173651537638</v>
      </c>
      <c r="Z21">
        <f t="shared" si="36"/>
        <v>2.0058565153733596</v>
      </c>
      <c r="AA21">
        <f t="shared" si="11"/>
        <v>1</v>
      </c>
      <c r="AB21">
        <f t="shared" si="12"/>
        <v>0.181226741105487</v>
      </c>
      <c r="AC21">
        <f t="shared" si="13"/>
        <v>0.56060106546234212</v>
      </c>
      <c r="AD21">
        <f t="shared" si="14"/>
        <v>0.23162248057340323</v>
      </c>
      <c r="AE21">
        <f t="shared" si="15"/>
        <v>0.24468890902986404</v>
      </c>
      <c r="AF21">
        <f t="shared" si="16"/>
        <v>0.25791405529905137</v>
      </c>
      <c r="AG21">
        <f t="shared" si="17"/>
        <v>3.9774859127954948E-2</v>
      </c>
      <c r="AJ21">
        <f t="shared" si="18"/>
        <v>1.3608172106077321</v>
      </c>
      <c r="AK21">
        <f t="shared" si="19"/>
        <v>0.25004389226289386</v>
      </c>
      <c r="AL21">
        <f t="shared" si="20"/>
        <v>-0.19615069688848105</v>
      </c>
      <c r="AM21">
        <f t="shared" si="21"/>
        <v>0.47486999786885192</v>
      </c>
      <c r="AN21">
        <f t="shared" si="22"/>
        <v>0.64233067625380147</v>
      </c>
      <c r="AO21">
        <f t="shared" si="23"/>
        <v>-0.52917503749949857</v>
      </c>
      <c r="AP21">
        <f t="shared" si="24"/>
        <v>0.71889837861014105</v>
      </c>
      <c r="AQ21">
        <f t="shared" si="25"/>
        <v>1.3608172106077088</v>
      </c>
      <c r="AS21">
        <f t="shared" si="26"/>
        <v>0.52876319324326471</v>
      </c>
      <c r="AT21">
        <f t="shared" si="27"/>
        <v>0.1131556387543029</v>
      </c>
      <c r="AV21">
        <f t="shared" si="29"/>
        <v>4.6816208773885366</v>
      </c>
      <c r="AW21">
        <f t="shared" si="30"/>
        <v>3.700447332933221</v>
      </c>
      <c r="AX21">
        <f t="shared" si="31"/>
        <v>2.4049530779429342</v>
      </c>
      <c r="AY21">
        <f t="shared" si="32"/>
        <v>10.228856255331506</v>
      </c>
      <c r="AZ21">
        <f t="shared" si="33"/>
        <v>10.681568842567257</v>
      </c>
      <c r="BA21">
        <f t="shared" si="34"/>
        <v>11.368181515171715</v>
      </c>
      <c r="BB21">
        <f t="shared" si="35"/>
        <v>18.542329200181189</v>
      </c>
    </row>
    <row r="22" spans="1:54" x14ac:dyDescent="0.25">
      <c r="A22" s="1">
        <v>36526</v>
      </c>
      <c r="B22">
        <v>157310</v>
      </c>
      <c r="C22">
        <v>92940</v>
      </c>
      <c r="D22">
        <v>26073</v>
      </c>
      <c r="E22">
        <v>41640</v>
      </c>
      <c r="F22">
        <v>43351</v>
      </c>
      <c r="G22">
        <v>48104</v>
      </c>
      <c r="H22">
        <f>'[1]Sheet 1'!H22</f>
        <v>228493.65275755001</v>
      </c>
      <c r="I22">
        <f>'[1]Sheet 1'!I22</f>
        <v>41645.938754362302</v>
      </c>
      <c r="J22">
        <f>'[1]Sheet 1'!J22</f>
        <v>127962.63862922799</v>
      </c>
      <c r="K22">
        <f>'[1]Sheet 1'!K22</f>
        <v>52896.907171530402</v>
      </c>
      <c r="L22">
        <f>'[1]Sheet 1'!L22</f>
        <v>57282.0533667989</v>
      </c>
      <c r="M22">
        <f>'[1]Sheet 1'!M22</f>
        <v>60754.004334719299</v>
      </c>
      <c r="N22">
        <f t="shared" si="0"/>
        <v>9460.1191703496952</v>
      </c>
      <c r="P22">
        <v>70.36</v>
      </c>
      <c r="R22">
        <f t="shared" si="3"/>
        <v>1.5794368244094641</v>
      </c>
      <c r="S22">
        <f t="shared" si="4"/>
        <v>1.3329514207151105</v>
      </c>
      <c r="T22">
        <f t="shared" si="5"/>
        <v>1.617237528104597</v>
      </c>
      <c r="U22">
        <f t="shared" si="6"/>
        <v>0.13429733880695505</v>
      </c>
      <c r="V22">
        <f t="shared" si="7"/>
        <v>3.1014199159944593</v>
      </c>
      <c r="W22">
        <f t="shared" si="8"/>
        <v>1.0762108562481707</v>
      </c>
      <c r="X22">
        <f t="shared" si="9"/>
        <v>-1.854206817505839</v>
      </c>
      <c r="Y22">
        <f t="shared" si="10"/>
        <v>0.99038323525189853</v>
      </c>
      <c r="Z22">
        <f t="shared" si="36"/>
        <v>2.461045580311632</v>
      </c>
      <c r="AA22">
        <f t="shared" si="11"/>
        <v>1</v>
      </c>
      <c r="AB22">
        <f t="shared" si="12"/>
        <v>0.18270634269018135</v>
      </c>
      <c r="AC22">
        <f t="shared" si="13"/>
        <v>0.55981877889462828</v>
      </c>
      <c r="AD22">
        <f t="shared" si="14"/>
        <v>0.23484379271966413</v>
      </c>
      <c r="AE22">
        <f t="shared" si="15"/>
        <v>0.24699353812395336</v>
      </c>
      <c r="AF22">
        <f t="shared" si="16"/>
        <v>0.26721301996459484</v>
      </c>
      <c r="AG22">
        <f t="shared" si="17"/>
        <v>4.2850567536167776E-2</v>
      </c>
      <c r="AJ22">
        <f t="shared" si="18"/>
        <v>1.1102031079085655</v>
      </c>
      <c r="AK22">
        <f t="shared" si="19"/>
        <v>0.35080130795868075</v>
      </c>
      <c r="AL22">
        <f t="shared" si="20"/>
        <v>0.5432838914230077</v>
      </c>
      <c r="AM22">
        <f t="shared" si="21"/>
        <v>0.58285552317649636</v>
      </c>
      <c r="AN22">
        <f t="shared" si="22"/>
        <v>0.50467590306747723</v>
      </c>
      <c r="AO22">
        <f t="shared" si="23"/>
        <v>-1.2265571917926714</v>
      </c>
      <c r="AP22">
        <f t="shared" si="24"/>
        <v>0.35514367407558173</v>
      </c>
      <c r="AQ22">
        <f t="shared" si="25"/>
        <v>1.1102031079085724</v>
      </c>
      <c r="AS22">
        <f t="shared" si="26"/>
        <v>1.4769407225581848</v>
      </c>
      <c r="AT22">
        <f t="shared" si="27"/>
        <v>-0.72188128872519419</v>
      </c>
      <c r="AV22">
        <f t="shared" si="29"/>
        <v>5.2978865955907208</v>
      </c>
      <c r="AW22">
        <f t="shared" si="30"/>
        <v>6.7073178088439507</v>
      </c>
      <c r="AX22">
        <f t="shared" si="31"/>
        <v>3.1340953939774852</v>
      </c>
      <c r="AY22">
        <f t="shared" si="32"/>
        <v>9.3854332281707453</v>
      </c>
      <c r="AZ22">
        <f t="shared" si="33"/>
        <v>8.8295013143955838</v>
      </c>
      <c r="BA22">
        <f t="shared" si="34"/>
        <v>13.978596893849637</v>
      </c>
      <c r="BB22">
        <f t="shared" si="35"/>
        <v>52.454946559192109</v>
      </c>
    </row>
    <row r="23" spans="1:54" x14ac:dyDescent="0.25">
      <c r="A23" s="1">
        <v>36617</v>
      </c>
      <c r="B23">
        <v>160177</v>
      </c>
      <c r="C23">
        <v>94003</v>
      </c>
      <c r="D23">
        <v>26591</v>
      </c>
      <c r="E23">
        <v>42798</v>
      </c>
      <c r="F23">
        <v>45878</v>
      </c>
      <c r="G23">
        <v>50528</v>
      </c>
      <c r="H23">
        <f>'[1]Sheet 1'!H23</f>
        <v>231381.907292288</v>
      </c>
      <c r="I23">
        <f>'[1]Sheet 1'!I23</f>
        <v>41577.661628885602</v>
      </c>
      <c r="J23">
        <f>'[1]Sheet 1'!J23</f>
        <v>128796.04139764899</v>
      </c>
      <c r="K23">
        <f>'[1]Sheet 1'!K23</f>
        <v>54237.3323080806</v>
      </c>
      <c r="L23">
        <f>'[1]Sheet 1'!L23</f>
        <v>59713.432357439196</v>
      </c>
      <c r="M23">
        <f>'[1]Sheet 1'!M23</f>
        <v>62052.751088845602</v>
      </c>
      <c r="N23">
        <f t="shared" si="0"/>
        <v>9110.1906890791797</v>
      </c>
      <c r="P23">
        <v>71.053333333333299</v>
      </c>
      <c r="R23">
        <f t="shared" si="3"/>
        <v>1.2640414733107099</v>
      </c>
      <c r="S23">
        <f t="shared" si="4"/>
        <v>-0.16394665967170111</v>
      </c>
      <c r="T23">
        <f t="shared" si="5"/>
        <v>0.6512860139089407</v>
      </c>
      <c r="U23">
        <f t="shared" si="6"/>
        <v>2.5340330999004563</v>
      </c>
      <c r="V23">
        <f t="shared" si="7"/>
        <v>4.2445737324939214</v>
      </c>
      <c r="W23">
        <f t="shared" si="8"/>
        <v>2.1377138319491871</v>
      </c>
      <c r="X23">
        <f t="shared" si="9"/>
        <v>-3.698985974376265</v>
      </c>
      <c r="Y23">
        <f t="shared" si="10"/>
        <v>0.98540837597114794</v>
      </c>
      <c r="Z23">
        <f t="shared" si="36"/>
        <v>2.5645960640907459</v>
      </c>
      <c r="AA23">
        <f t="shared" si="11"/>
        <v>1</v>
      </c>
      <c r="AB23">
        <f t="shared" si="12"/>
        <v>0.18226300053311312</v>
      </c>
      <c r="AC23">
        <f t="shared" si="13"/>
        <v>0.5600271039695206</v>
      </c>
      <c r="AD23">
        <f t="shared" si="14"/>
        <v>0.23150274212500002</v>
      </c>
      <c r="AE23">
        <f t="shared" si="15"/>
        <v>0.25069428702065405</v>
      </c>
      <c r="AF23">
        <f t="shared" si="16"/>
        <v>0.26588924288056326</v>
      </c>
      <c r="AG23">
        <f t="shared" si="17"/>
        <v>4.1402109232275421E-2</v>
      </c>
      <c r="AJ23">
        <f t="shared" si="18"/>
        <v>1.5794368244094641</v>
      </c>
      <c r="AK23">
        <f t="shared" si="19"/>
        <v>0.24353867906253909</v>
      </c>
      <c r="AL23">
        <f t="shared" si="20"/>
        <v>0.90535993816608251</v>
      </c>
      <c r="AM23">
        <f t="shared" si="21"/>
        <v>3.1538896397583054E-2</v>
      </c>
      <c r="AN23">
        <f t="shared" si="22"/>
        <v>0.76603067825956572</v>
      </c>
      <c r="AO23">
        <f t="shared" si="23"/>
        <v>-0.28757755301675614</v>
      </c>
      <c r="AP23">
        <f t="shared" si="24"/>
        <v>-7.9453814459556668E-2</v>
      </c>
      <c r="AQ23">
        <f t="shared" si="25"/>
        <v>1.5794368244094574</v>
      </c>
      <c r="AS23">
        <f t="shared" si="26"/>
        <v>1.1804375136262046</v>
      </c>
      <c r="AT23">
        <f t="shared" si="27"/>
        <v>0.47845312524280958</v>
      </c>
      <c r="AV23">
        <f t="shared" si="29"/>
        <v>5.4207600511396521</v>
      </c>
      <c r="AW23">
        <f t="shared" si="30"/>
        <v>4.5482262592487519</v>
      </c>
      <c r="AX23">
        <f t="shared" si="31"/>
        <v>2.9149940620490606</v>
      </c>
      <c r="AY23">
        <f t="shared" si="32"/>
        <v>7.4282823114749403</v>
      </c>
      <c r="AZ23">
        <f t="shared" si="33"/>
        <v>12.610833441516286</v>
      </c>
      <c r="BA23">
        <f t="shared" si="34"/>
        <v>10.380885056668671</v>
      </c>
      <c r="BB23">
        <f t="shared" si="35"/>
        <v>25.296889794066761</v>
      </c>
    </row>
    <row r="24" spans="1:54" x14ac:dyDescent="0.25">
      <c r="A24" s="1">
        <v>36708</v>
      </c>
      <c r="B24">
        <v>163101</v>
      </c>
      <c r="C24">
        <v>95751</v>
      </c>
      <c r="D24">
        <v>27339</v>
      </c>
      <c r="E24">
        <v>43686</v>
      </c>
      <c r="F24">
        <v>46867</v>
      </c>
      <c r="G24">
        <v>52010</v>
      </c>
      <c r="H24">
        <f>'[1]Sheet 1'!H24</f>
        <v>233741.40601199699</v>
      </c>
      <c r="I24">
        <f>'[1]Sheet 1'!I24</f>
        <v>41893.431562297003</v>
      </c>
      <c r="J24">
        <f>'[1]Sheet 1'!J24</f>
        <v>131627.89118776601</v>
      </c>
      <c r="K24">
        <f>'[1]Sheet 1'!K24</f>
        <v>55295.141525290499</v>
      </c>
      <c r="L24">
        <f>'[1]Sheet 1'!L24</f>
        <v>59794.403748655001</v>
      </c>
      <c r="M24">
        <f>'[1]Sheet 1'!M24</f>
        <v>62535.110032533303</v>
      </c>
      <c r="N24">
        <f t="shared" si="0"/>
        <v>7665.6480205218177</v>
      </c>
      <c r="P24">
        <v>71.896666666666704</v>
      </c>
      <c r="R24">
        <f t="shared" si="3"/>
        <v>1.0197420996830191</v>
      </c>
      <c r="S24">
        <f t="shared" si="4"/>
        <v>0.75947016027477332</v>
      </c>
      <c r="T24">
        <f t="shared" si="5"/>
        <v>2.1987087175869608</v>
      </c>
      <c r="U24">
        <f t="shared" si="6"/>
        <v>1.9503341558196436</v>
      </c>
      <c r="V24">
        <f t="shared" si="7"/>
        <v>0.13559996138074365</v>
      </c>
      <c r="W24">
        <f t="shared" si="8"/>
        <v>0.77733691935281213</v>
      </c>
      <c r="X24">
        <f t="shared" si="9"/>
        <v>-15.856338444035034</v>
      </c>
      <c r="Y24">
        <f t="shared" si="10"/>
        <v>1.1869018577595307</v>
      </c>
      <c r="Z24">
        <f t="shared" si="36"/>
        <v>3.1960193292187489</v>
      </c>
      <c r="AA24">
        <f t="shared" si="11"/>
        <v>1</v>
      </c>
      <c r="AB24">
        <f t="shared" si="12"/>
        <v>0.17969279497883797</v>
      </c>
      <c r="AC24">
        <f t="shared" si="13"/>
        <v>0.55663834266414913</v>
      </c>
      <c r="AD24">
        <f t="shared" si="14"/>
        <v>0.2344061078188214</v>
      </c>
      <c r="AE24">
        <f t="shared" si="15"/>
        <v>0.25807304061163061</v>
      </c>
      <c r="AF24">
        <f t="shared" si="16"/>
        <v>0.26818324654251752</v>
      </c>
      <c r="AG24">
        <f t="shared" si="17"/>
        <v>3.9372960469078233E-2</v>
      </c>
      <c r="AJ24">
        <f t="shared" si="18"/>
        <v>1.2640414733107099</v>
      </c>
      <c r="AK24">
        <f t="shared" si="19"/>
        <v>-2.9881410119145375E-2</v>
      </c>
      <c r="AL24">
        <f t="shared" si="20"/>
        <v>0.36473782022527695</v>
      </c>
      <c r="AM24">
        <f t="shared" si="21"/>
        <v>0.58663561126246977</v>
      </c>
      <c r="AN24">
        <f t="shared" si="22"/>
        <v>1.0640903855741599</v>
      </c>
      <c r="AO24">
        <f t="shared" si="23"/>
        <v>-0.56839511227227701</v>
      </c>
      <c r="AP24">
        <f t="shared" si="24"/>
        <v>-0.15314582135978086</v>
      </c>
      <c r="AQ24">
        <f t="shared" si="25"/>
        <v>1.2640414733107033</v>
      </c>
      <c r="AS24">
        <f t="shared" si="26"/>
        <v>0.92149202136860131</v>
      </c>
      <c r="AT24">
        <f t="shared" si="27"/>
        <v>0.4956952733018829</v>
      </c>
      <c r="AV24">
        <f t="shared" si="29"/>
        <v>5.0660233943356756</v>
      </c>
      <c r="AW24">
        <f t="shared" si="30"/>
        <v>3.9083139264634581</v>
      </c>
      <c r="AX24">
        <f t="shared" si="31"/>
        <v>5.5408646151879966</v>
      </c>
      <c r="AY24">
        <f t="shared" si="32"/>
        <v>7.3081996399393248</v>
      </c>
      <c r="AZ24">
        <f t="shared" si="33"/>
        <v>9.843129568274362</v>
      </c>
      <c r="BA24">
        <f t="shared" si="34"/>
        <v>8.987214054848959</v>
      </c>
      <c r="BB24">
        <f t="shared" si="35"/>
        <v>-13.37028872491979</v>
      </c>
    </row>
    <row r="25" spans="1:54" x14ac:dyDescent="0.25">
      <c r="A25" s="1">
        <v>36800</v>
      </c>
      <c r="B25">
        <v>166981</v>
      </c>
      <c r="C25">
        <v>97675</v>
      </c>
      <c r="D25">
        <v>27713</v>
      </c>
      <c r="E25">
        <v>44598</v>
      </c>
      <c r="F25">
        <v>49037</v>
      </c>
      <c r="G25">
        <v>53554</v>
      </c>
      <c r="H25">
        <f>'[1]Sheet 1'!H25</f>
        <v>236243.75066998901</v>
      </c>
      <c r="I25">
        <f>'[1]Sheet 1'!I25</f>
        <v>42179.865875589698</v>
      </c>
      <c r="J25">
        <f>'[1]Sheet 1'!J25</f>
        <v>131678.04684442599</v>
      </c>
      <c r="K25">
        <f>'[1]Sheet 1'!K25</f>
        <v>56131.376739036699</v>
      </c>
      <c r="L25">
        <f>'[1]Sheet 1'!L25</f>
        <v>61336.130014768401</v>
      </c>
      <c r="M25">
        <f>'[1]Sheet 1'!M25</f>
        <v>63394.590428719297</v>
      </c>
      <c r="N25">
        <f t="shared" si="0"/>
        <v>8312.9216248875528</v>
      </c>
      <c r="P25">
        <v>72.22</v>
      </c>
      <c r="R25">
        <f t="shared" si="3"/>
        <v>1.0705611387755483</v>
      </c>
      <c r="S25">
        <f t="shared" si="4"/>
        <v>0.6837212961816157</v>
      </c>
      <c r="T25">
        <f t="shared" si="5"/>
        <v>3.8104125354731282E-2</v>
      </c>
      <c r="U25">
        <f t="shared" si="6"/>
        <v>1.5123122767734105</v>
      </c>
      <c r="V25">
        <f t="shared" si="7"/>
        <v>2.5783788606606519</v>
      </c>
      <c r="W25">
        <f t="shared" si="8"/>
        <v>1.3743965521750225</v>
      </c>
      <c r="X25">
        <f t="shared" si="9"/>
        <v>8.4438210916142964</v>
      </c>
      <c r="Y25">
        <f t="shared" si="10"/>
        <v>0.44971950484486284</v>
      </c>
      <c r="Z25">
        <f t="shared" si="36"/>
        <v>2.6435474701534956</v>
      </c>
      <c r="AA25">
        <f t="shared" si="11"/>
        <v>1</v>
      </c>
      <c r="AB25">
        <f t="shared" si="12"/>
        <v>0.17922982614448202</v>
      </c>
      <c r="AC25">
        <f t="shared" si="13"/>
        <v>0.56313467704994502</v>
      </c>
      <c r="AD25">
        <f t="shared" si="14"/>
        <v>0.23656545268856827</v>
      </c>
      <c r="AE25">
        <f t="shared" si="15"/>
        <v>0.25581434102259998</v>
      </c>
      <c r="AF25">
        <f t="shared" si="16"/>
        <v>0.2675397187836015</v>
      </c>
      <c r="AG25">
        <f t="shared" si="17"/>
        <v>3.2795421878006374E-2</v>
      </c>
      <c r="AJ25">
        <f t="shared" si="18"/>
        <v>1.0197420996830191</v>
      </c>
      <c r="AK25">
        <f t="shared" si="19"/>
        <v>0.13647131580280006</v>
      </c>
      <c r="AL25">
        <f t="shared" si="20"/>
        <v>1.2238855765588226</v>
      </c>
      <c r="AM25">
        <f t="shared" si="21"/>
        <v>0.45717023841178939</v>
      </c>
      <c r="AN25">
        <f t="shared" si="22"/>
        <v>3.4994694340348201E-2</v>
      </c>
      <c r="AO25">
        <f t="shared" si="23"/>
        <v>-0.20846873868939628</v>
      </c>
      <c r="AP25">
        <f t="shared" si="24"/>
        <v>-0.6243109867413168</v>
      </c>
      <c r="AQ25">
        <f t="shared" si="25"/>
        <v>1.0197420996830475</v>
      </c>
      <c r="AS25">
        <f t="shared" si="26"/>
        <v>1.8175271307734122</v>
      </c>
      <c r="AT25">
        <f t="shared" si="27"/>
        <v>-0.17347404434904806</v>
      </c>
      <c r="AV25">
        <f t="shared" si="29"/>
        <v>5.0248304788009088</v>
      </c>
      <c r="AW25">
        <f t="shared" si="30"/>
        <v>2.6321035747020516</v>
      </c>
      <c r="AX25">
        <f t="shared" si="31"/>
        <v>4.5677043453104886</v>
      </c>
      <c r="AY25">
        <f t="shared" si="32"/>
        <v>6.2571758722482036</v>
      </c>
      <c r="AZ25">
        <f t="shared" si="33"/>
        <v>10.398313694879063</v>
      </c>
      <c r="BA25">
        <f t="shared" si="34"/>
        <v>5.4693441113132044</v>
      </c>
      <c r="BB25">
        <f t="shared" si="35"/>
        <v>-13.75602443829067</v>
      </c>
    </row>
    <row r="26" spans="1:54" x14ac:dyDescent="0.25">
      <c r="A26" s="1">
        <v>36892</v>
      </c>
      <c r="B26">
        <v>170666</v>
      </c>
      <c r="C26">
        <v>99635</v>
      </c>
      <c r="D26">
        <v>28116</v>
      </c>
      <c r="E26">
        <v>45314</v>
      </c>
      <c r="F26">
        <v>49485</v>
      </c>
      <c r="G26">
        <v>53454</v>
      </c>
      <c r="H26">
        <f>'[1]Sheet 1'!H26</f>
        <v>238642.20737286599</v>
      </c>
      <c r="I26">
        <f>'[1]Sheet 1'!I26</f>
        <v>42801.423155791097</v>
      </c>
      <c r="J26">
        <f>'[1]Sheet 1'!J26</f>
        <v>132661.91658282699</v>
      </c>
      <c r="K26">
        <f>'[1]Sheet 1'!K26</f>
        <v>56194.335901471699</v>
      </c>
      <c r="L26">
        <f>'[1]Sheet 1'!L26</f>
        <v>62499.846374813002</v>
      </c>
      <c r="M26">
        <f>'[1]Sheet 1'!M26</f>
        <v>64581.394583437599</v>
      </c>
      <c r="N26">
        <f t="shared" si="0"/>
        <v>9066.0799414007924</v>
      </c>
      <c r="P26">
        <v>72.543333333333294</v>
      </c>
      <c r="R26">
        <f t="shared" si="3"/>
        <v>1.0152466239106606</v>
      </c>
      <c r="S26">
        <f t="shared" si="4"/>
        <v>1.4735876165056907</v>
      </c>
      <c r="T26">
        <f t="shared" si="5"/>
        <v>0.74717825938245896</v>
      </c>
      <c r="U26">
        <f t="shared" si="6"/>
        <v>0.11216393769870694</v>
      </c>
      <c r="V26">
        <f t="shared" si="7"/>
        <v>1.8972771183385757</v>
      </c>
      <c r="W26">
        <f t="shared" si="8"/>
        <v>1.8720905785372042</v>
      </c>
      <c r="X26">
        <f t="shared" si="9"/>
        <v>9.0600916320250704</v>
      </c>
      <c r="Y26">
        <f t="shared" si="10"/>
        <v>0.44770608326404743</v>
      </c>
      <c r="Z26">
        <f t="shared" si="36"/>
        <v>2.0970163257646774</v>
      </c>
      <c r="AA26">
        <f t="shared" si="11"/>
        <v>1</v>
      </c>
      <c r="AB26">
        <f t="shared" si="12"/>
        <v>0.1785438376929222</v>
      </c>
      <c r="AC26">
        <f t="shared" si="13"/>
        <v>0.5573821380289895</v>
      </c>
      <c r="AD26">
        <f t="shared" si="14"/>
        <v>0.23759941407909291</v>
      </c>
      <c r="AE26">
        <f t="shared" si="15"/>
        <v>0.25963069855104604</v>
      </c>
      <c r="AF26">
        <f t="shared" si="16"/>
        <v>0.26834398898989614</v>
      </c>
      <c r="AG26">
        <f t="shared" si="17"/>
        <v>3.5187900637845639E-2</v>
      </c>
      <c r="AJ26">
        <f t="shared" si="18"/>
        <v>1.0705611387755483</v>
      </c>
      <c r="AK26">
        <f t="shared" si="19"/>
        <v>0.12254324904591088</v>
      </c>
      <c r="AL26">
        <f t="shared" si="20"/>
        <v>2.145775432590722E-2</v>
      </c>
      <c r="AM26">
        <f t="shared" si="21"/>
        <v>0.35776083836138123</v>
      </c>
      <c r="AN26">
        <f t="shared" si="22"/>
        <v>0.65958628914650685</v>
      </c>
      <c r="AO26">
        <f t="shared" si="23"/>
        <v>-0.36770566706605701</v>
      </c>
      <c r="AP26">
        <f t="shared" si="24"/>
        <v>0.27691867496189915</v>
      </c>
      <c r="AQ26">
        <f t="shared" si="25"/>
        <v>1.070561138775548</v>
      </c>
      <c r="AS26">
        <f t="shared" si="26"/>
        <v>0.50176184173319927</v>
      </c>
      <c r="AT26">
        <f t="shared" si="27"/>
        <v>0.29188062208044985</v>
      </c>
      <c r="AV26">
        <f t="shared" si="29"/>
        <v>4.4415039511335603</v>
      </c>
      <c r="AW26">
        <f t="shared" si="30"/>
        <v>2.7745428149527824</v>
      </c>
      <c r="AX26">
        <f t="shared" si="31"/>
        <v>3.6723828173121413</v>
      </c>
      <c r="AY26">
        <f t="shared" si="32"/>
        <v>6.2336890874330813</v>
      </c>
      <c r="AZ26">
        <f t="shared" si="33"/>
        <v>9.1089489662714733</v>
      </c>
      <c r="BA26">
        <f t="shared" si="34"/>
        <v>6.2998156099005458</v>
      </c>
      <c r="BB26">
        <f t="shared" si="35"/>
        <v>-4.1652670738431832</v>
      </c>
    </row>
    <row r="27" spans="1:54" x14ac:dyDescent="0.25">
      <c r="A27" s="1">
        <v>36982</v>
      </c>
      <c r="B27">
        <v>173289</v>
      </c>
      <c r="C27">
        <v>101607</v>
      </c>
      <c r="D27">
        <v>28623</v>
      </c>
      <c r="E27">
        <v>46105</v>
      </c>
      <c r="F27">
        <v>48956</v>
      </c>
      <c r="G27">
        <v>53612</v>
      </c>
      <c r="H27">
        <f>'[1]Sheet 1'!H27</f>
        <v>240497.510745195</v>
      </c>
      <c r="I27">
        <f>'[1]Sheet 1'!I27</f>
        <v>43237.313742368598</v>
      </c>
      <c r="J27">
        <f>'[1]Sheet 1'!J27</f>
        <v>134033.110820823</v>
      </c>
      <c r="K27">
        <f>'[1]Sheet 1'!K27</f>
        <v>56839.466407359898</v>
      </c>
      <c r="L27">
        <f>'[1]Sheet 1'!L27</f>
        <v>62155.137136544901</v>
      </c>
      <c r="M27">
        <f>'[1]Sheet 1'!M27</f>
        <v>65047.971991927501</v>
      </c>
      <c r="N27">
        <f t="shared" si="0"/>
        <v>9280.4546300261136</v>
      </c>
      <c r="P27">
        <v>73.39</v>
      </c>
      <c r="R27">
        <f t="shared" si="3"/>
        <v>0.77744142276986195</v>
      </c>
      <c r="S27">
        <f t="shared" si="4"/>
        <v>1.0184020867505308</v>
      </c>
      <c r="T27">
        <f t="shared" si="5"/>
        <v>1.0336005036832927</v>
      </c>
      <c r="U27">
        <f t="shared" si="6"/>
        <v>1.148034753928471</v>
      </c>
      <c r="V27">
        <f t="shared" si="7"/>
        <v>-0.55153613690643521</v>
      </c>
      <c r="W27">
        <f t="shared" si="8"/>
        <v>0.72246412685792261</v>
      </c>
      <c r="X27">
        <f t="shared" si="9"/>
        <v>2.3645797302797473</v>
      </c>
      <c r="Y27">
        <f t="shared" si="10"/>
        <v>1.1671185038827925</v>
      </c>
      <c r="Z27">
        <f t="shared" si="36"/>
        <v>2.0770550326857471</v>
      </c>
      <c r="AA27">
        <f t="shared" si="11"/>
        <v>1</v>
      </c>
      <c r="AB27">
        <f t="shared" si="12"/>
        <v>0.17935395262631018</v>
      </c>
      <c r="AC27">
        <f t="shared" si="13"/>
        <v>0.55590298984935915</v>
      </c>
      <c r="AD27">
        <f t="shared" si="14"/>
        <v>0.23547526030745677</v>
      </c>
      <c r="AE27">
        <f t="shared" si="15"/>
        <v>0.26189770478094954</v>
      </c>
      <c r="AF27">
        <f t="shared" si="16"/>
        <v>0.27062016939246852</v>
      </c>
      <c r="AG27">
        <f t="shared" si="17"/>
        <v>3.799026182839281E-2</v>
      </c>
      <c r="AJ27">
        <f t="shared" si="18"/>
        <v>1.0152466239106606</v>
      </c>
      <c r="AK27">
        <f t="shared" si="19"/>
        <v>0.26309998822769215</v>
      </c>
      <c r="AL27">
        <f t="shared" si="20"/>
        <v>0.41646381570337387</v>
      </c>
      <c r="AM27">
        <f t="shared" si="21"/>
        <v>2.6650085878016649E-2</v>
      </c>
      <c r="AN27">
        <f t="shared" si="22"/>
        <v>0.49259138357916005</v>
      </c>
      <c r="AO27">
        <f t="shared" si="23"/>
        <v>-0.50236425359507586</v>
      </c>
      <c r="AP27">
        <f t="shared" si="24"/>
        <v>0.31880560411747488</v>
      </c>
      <c r="AQ27">
        <f t="shared" si="25"/>
        <v>1.0152466239106419</v>
      </c>
      <c r="AS27">
        <f t="shared" si="26"/>
        <v>0.70621388980908273</v>
      </c>
      <c r="AT27">
        <f t="shared" si="27"/>
        <v>-9.7728700159158133E-3</v>
      </c>
      <c r="AV27">
        <f t="shared" si="29"/>
        <v>3.9396353671646076</v>
      </c>
      <c r="AW27">
        <f t="shared" si="30"/>
        <v>3.9916918086850086</v>
      </c>
      <c r="AX27">
        <f t="shared" si="31"/>
        <v>4.0661726605438986</v>
      </c>
      <c r="AY27">
        <f t="shared" si="32"/>
        <v>4.7976808381698666</v>
      </c>
      <c r="AZ27">
        <f t="shared" si="33"/>
        <v>4.089037730221035</v>
      </c>
      <c r="BA27">
        <f t="shared" si="34"/>
        <v>4.8268946187307895</v>
      </c>
      <c r="BB27">
        <f t="shared" si="35"/>
        <v>1.8689393752321495</v>
      </c>
    </row>
    <row r="28" spans="1:54" x14ac:dyDescent="0.25">
      <c r="A28" s="1">
        <v>37073</v>
      </c>
      <c r="B28">
        <v>176986</v>
      </c>
      <c r="C28">
        <v>103568</v>
      </c>
      <c r="D28">
        <v>29064</v>
      </c>
      <c r="E28">
        <v>46842</v>
      </c>
      <c r="F28">
        <v>48861</v>
      </c>
      <c r="G28">
        <v>53004</v>
      </c>
      <c r="H28">
        <f>'[1]Sheet 1'!H28</f>
        <v>242809.30005073399</v>
      </c>
      <c r="I28">
        <f>'[1]Sheet 1'!I28</f>
        <v>43762.9063455207</v>
      </c>
      <c r="J28">
        <f>'[1]Sheet 1'!J28</f>
        <v>134689.84284762101</v>
      </c>
      <c r="K28">
        <f>'[1]Sheet 1'!K28</f>
        <v>56587.084433000004</v>
      </c>
      <c r="L28">
        <f>'[1]Sheet 1'!L28</f>
        <v>61978.910346736302</v>
      </c>
      <c r="M28">
        <f>'[1]Sheet 1'!M28</f>
        <v>64511.972182489801</v>
      </c>
      <c r="N28">
        <f t="shared" si="0"/>
        <v>10302.52826034576</v>
      </c>
      <c r="P28">
        <v>73.540000000000006</v>
      </c>
      <c r="R28">
        <f t="shared" si="3"/>
        <v>0.96125290377259121</v>
      </c>
      <c r="S28">
        <f t="shared" si="4"/>
        <v>1.2155995774480057</v>
      </c>
      <c r="T28">
        <f t="shared" si="5"/>
        <v>0.48997745614957577</v>
      </c>
      <c r="U28">
        <f t="shared" si="6"/>
        <v>-0.44402593886281516</v>
      </c>
      <c r="V28">
        <f t="shared" si="7"/>
        <v>-0.28352731234661616</v>
      </c>
      <c r="W28">
        <f t="shared" si="8"/>
        <v>-0.82400694906248351</v>
      </c>
      <c r="X28">
        <f t="shared" si="9"/>
        <v>11.013184925367932</v>
      </c>
      <c r="Y28">
        <f t="shared" si="10"/>
        <v>0.20438751873553029</v>
      </c>
      <c r="Z28">
        <f t="shared" si="36"/>
        <v>1.8277485461091214</v>
      </c>
      <c r="AA28">
        <f t="shared" si="11"/>
        <v>1</v>
      </c>
      <c r="AB28">
        <f t="shared" si="12"/>
        <v>0.17978279113324441</v>
      </c>
      <c r="AC28">
        <f t="shared" si="13"/>
        <v>0.5573160005087533</v>
      </c>
      <c r="AD28">
        <f t="shared" si="14"/>
        <v>0.23634118387021816</v>
      </c>
      <c r="AE28">
        <f t="shared" si="15"/>
        <v>0.25844399363616583</v>
      </c>
      <c r="AF28">
        <f t="shared" si="16"/>
        <v>0.2704725374926864</v>
      </c>
      <c r="AG28">
        <f t="shared" si="17"/>
        <v>3.8588568344304706E-2</v>
      </c>
      <c r="AJ28">
        <f t="shared" si="18"/>
        <v>0.77744142276986195</v>
      </c>
      <c r="AK28">
        <f t="shared" si="19"/>
        <v>0.18265443962159014</v>
      </c>
      <c r="AL28">
        <f t="shared" si="20"/>
        <v>0.574581610307346</v>
      </c>
      <c r="AM28">
        <f t="shared" si="21"/>
        <v>0.2703337825233138</v>
      </c>
      <c r="AN28">
        <f t="shared" si="22"/>
        <v>-0.14444604835954694</v>
      </c>
      <c r="AO28">
        <f t="shared" si="23"/>
        <v>-0.19551336439027289</v>
      </c>
      <c r="AP28">
        <f t="shared" si="24"/>
        <v>8.9831003067438048E-2</v>
      </c>
      <c r="AQ28">
        <f t="shared" si="25"/>
        <v>0.77744142276986827</v>
      </c>
      <c r="AS28">
        <f t="shared" si="26"/>
        <v>1.02756983245225</v>
      </c>
      <c r="AT28">
        <f t="shared" si="27"/>
        <v>-0.33995941274981983</v>
      </c>
      <c r="AV28">
        <f t="shared" si="29"/>
        <v>3.8794555887421915</v>
      </c>
      <c r="AW28">
        <f t="shared" si="30"/>
        <v>4.4624532140407798</v>
      </c>
      <c r="AX28">
        <f t="shared" si="31"/>
        <v>2.3262179711495565</v>
      </c>
      <c r="AY28">
        <f t="shared" si="32"/>
        <v>2.3364492287601886</v>
      </c>
      <c r="AZ28">
        <f t="shared" si="33"/>
        <v>3.653362958954899</v>
      </c>
      <c r="BA28">
        <f t="shared" si="34"/>
        <v>3.1612036005502415</v>
      </c>
      <c r="BB28">
        <f t="shared" si="35"/>
        <v>34.398660527651572</v>
      </c>
    </row>
    <row r="29" spans="1:54" x14ac:dyDescent="0.25">
      <c r="A29" s="1">
        <v>37165</v>
      </c>
      <c r="B29">
        <v>180017</v>
      </c>
      <c r="C29">
        <v>104371</v>
      </c>
      <c r="D29">
        <v>29679</v>
      </c>
      <c r="E29">
        <v>47370</v>
      </c>
      <c r="F29">
        <v>48103</v>
      </c>
      <c r="G29">
        <v>51178</v>
      </c>
      <c r="H29">
        <f>'[1]Sheet 1'!H29</f>
        <v>244354.35107884699</v>
      </c>
      <c r="I29">
        <f>'[1]Sheet 1'!I29</f>
        <v>43999.945690106601</v>
      </c>
      <c r="J29">
        <f>'[1]Sheet 1'!J29</f>
        <v>136823.81250078199</v>
      </c>
      <c r="K29">
        <f>'[1]Sheet 1'!K29</f>
        <v>56951.889382951602</v>
      </c>
      <c r="L29">
        <f>'[1]Sheet 1'!L29</f>
        <v>60886.872168288603</v>
      </c>
      <c r="M29">
        <f>'[1]Sheet 1'!M29</f>
        <v>63682.419464450897</v>
      </c>
      <c r="N29">
        <f t="shared" si="0"/>
        <v>9374.2508011690734</v>
      </c>
      <c r="P29">
        <v>74.17</v>
      </c>
      <c r="R29">
        <f t="shared" si="3"/>
        <v>0.63632283763025765</v>
      </c>
      <c r="S29">
        <f t="shared" si="4"/>
        <v>0.54164442990693351</v>
      </c>
      <c r="T29">
        <f t="shared" si="5"/>
        <v>1.5843582619479404</v>
      </c>
      <c r="U29">
        <f t="shared" si="6"/>
        <v>0.6446788231041185</v>
      </c>
      <c r="V29">
        <f t="shared" si="7"/>
        <v>-1.7619512384751117</v>
      </c>
      <c r="W29">
        <f t="shared" si="8"/>
        <v>-1.2858895643312318</v>
      </c>
      <c r="X29">
        <f t="shared" si="9"/>
        <v>-9.0101908552836427</v>
      </c>
      <c r="Y29">
        <f t="shared" si="10"/>
        <v>0.85667663856404053</v>
      </c>
      <c r="Z29">
        <f t="shared" si="36"/>
        <v>2.2423379129716152</v>
      </c>
      <c r="AA29">
        <f t="shared" si="11"/>
        <v>1</v>
      </c>
      <c r="AB29">
        <f t="shared" si="12"/>
        <v>0.18023570899622307</v>
      </c>
      <c r="AC29">
        <f t="shared" si="13"/>
        <v>0.55471451389826554</v>
      </c>
      <c r="AD29">
        <f t="shared" si="14"/>
        <v>0.23305155289017501</v>
      </c>
      <c r="AE29">
        <f t="shared" si="15"/>
        <v>0.25525756358502771</v>
      </c>
      <c r="AF29">
        <f t="shared" si="16"/>
        <v>0.26568987336568367</v>
      </c>
      <c r="AG29">
        <f t="shared" si="17"/>
        <v>4.2430533995992288E-2</v>
      </c>
      <c r="AJ29">
        <f t="shared" si="18"/>
        <v>0.96125290377259121</v>
      </c>
      <c r="AK29">
        <f t="shared" si="19"/>
        <v>0.21854388493399499</v>
      </c>
      <c r="AL29">
        <f t="shared" si="20"/>
        <v>0.2730722762007346</v>
      </c>
      <c r="AM29">
        <f t="shared" si="21"/>
        <v>-0.10494161605992285</v>
      </c>
      <c r="AN29">
        <f t="shared" si="22"/>
        <v>-7.327593090778807E-2</v>
      </c>
      <c r="AO29">
        <f t="shared" si="23"/>
        <v>0.2228712504245367</v>
      </c>
      <c r="AP29">
        <f t="shared" si="24"/>
        <v>0.42498303918102681</v>
      </c>
      <c r="AQ29">
        <f t="shared" si="25"/>
        <v>0.9612529037725821</v>
      </c>
      <c r="AS29">
        <f t="shared" si="26"/>
        <v>0.38667454507480675</v>
      </c>
      <c r="AT29">
        <f t="shared" si="27"/>
        <v>0.14959531951674865</v>
      </c>
      <c r="AV29">
        <f t="shared" si="29"/>
        <v>3.4331491884362046</v>
      </c>
      <c r="AW29">
        <f t="shared" si="30"/>
        <v>4.3150441015750554</v>
      </c>
      <c r="AX29">
        <f t="shared" si="31"/>
        <v>3.9078386866077857</v>
      </c>
      <c r="AY29">
        <f t="shared" si="32"/>
        <v>1.461771813881549</v>
      </c>
      <c r="AZ29">
        <f t="shared" si="33"/>
        <v>-0.73245222085519157</v>
      </c>
      <c r="BA29">
        <f t="shared" si="34"/>
        <v>0.45402775502624976</v>
      </c>
      <c r="BB29">
        <f t="shared" si="35"/>
        <v>12.767222213476323</v>
      </c>
    </row>
    <row r="30" spans="1:54" x14ac:dyDescent="0.25">
      <c r="A30" s="1">
        <v>37257</v>
      </c>
      <c r="B30">
        <v>182792</v>
      </c>
      <c r="C30">
        <v>106171</v>
      </c>
      <c r="D30">
        <v>30076</v>
      </c>
      <c r="E30">
        <v>48237</v>
      </c>
      <c r="F30">
        <v>49265</v>
      </c>
      <c r="G30">
        <v>52674</v>
      </c>
      <c r="H30">
        <f>'[1]Sheet 1'!H30</f>
        <v>245509.539971052</v>
      </c>
      <c r="I30">
        <f>'[1]Sheet 1'!I30</f>
        <v>44351.5964301477</v>
      </c>
      <c r="J30">
        <f>'[1]Sheet 1'!J30</f>
        <v>137131.70681758501</v>
      </c>
      <c r="K30">
        <f>'[1]Sheet 1'!K30</f>
        <v>57772.855507339802</v>
      </c>
      <c r="L30">
        <f>'[1]Sheet 1'!L30</f>
        <v>61938.123482298099</v>
      </c>
      <c r="M30">
        <f>'[1]Sheet 1'!M30</f>
        <v>65831.406648559394</v>
      </c>
      <c r="N30">
        <f t="shared" si="0"/>
        <v>10146.664382240786</v>
      </c>
      <c r="O30">
        <v>11.55</v>
      </c>
      <c r="P30">
        <v>74.989999999999995</v>
      </c>
      <c r="R30">
        <f t="shared" si="3"/>
        <v>0.47275151316305503</v>
      </c>
      <c r="S30">
        <f t="shared" si="4"/>
        <v>0.79920721384019333</v>
      </c>
      <c r="T30">
        <f t="shared" si="5"/>
        <v>0.22502977455131501</v>
      </c>
      <c r="U30">
        <f t="shared" si="6"/>
        <v>1.4415081453539171</v>
      </c>
      <c r="V30">
        <f t="shared" si="7"/>
        <v>1.7265648186096412</v>
      </c>
      <c r="W30">
        <f t="shared" si="8"/>
        <v>3.3745375916631346</v>
      </c>
      <c r="X30">
        <f t="shared" si="9"/>
        <v>8.2397366728803956</v>
      </c>
      <c r="Y30">
        <f t="shared" si="10"/>
        <v>1.1055682890656509</v>
      </c>
      <c r="Z30">
        <f t="shared" si="36"/>
        <v>2.1801335331788994</v>
      </c>
      <c r="AA30">
        <f t="shared" si="11"/>
        <v>1</v>
      </c>
      <c r="AB30">
        <f t="shared" si="12"/>
        <v>0.18006614367963075</v>
      </c>
      <c r="AC30">
        <f t="shared" si="13"/>
        <v>0.5599401520647872</v>
      </c>
      <c r="AD30">
        <f t="shared" si="14"/>
        <v>0.23307090351165741</v>
      </c>
      <c r="AE30">
        <f t="shared" si="15"/>
        <v>0.24917449556133317</v>
      </c>
      <c r="AF30">
        <f t="shared" si="16"/>
        <v>0.26061504198016994</v>
      </c>
      <c r="AG30">
        <f t="shared" si="17"/>
        <v>3.8363347162761345E-2</v>
      </c>
      <c r="AJ30">
        <f t="shared" si="18"/>
        <v>0.63632283763025765</v>
      </c>
      <c r="AK30">
        <f t="shared" si="19"/>
        <v>9.7623667848131215E-2</v>
      </c>
      <c r="AL30">
        <f t="shared" si="20"/>
        <v>0.87886652311715263</v>
      </c>
      <c r="AM30">
        <f t="shared" si="21"/>
        <v>0.15024340083982526</v>
      </c>
      <c r="AN30">
        <f t="shared" si="22"/>
        <v>-0.44975138028877915</v>
      </c>
      <c r="AO30">
        <f t="shared" si="23"/>
        <v>0.34164783550941913</v>
      </c>
      <c r="AP30">
        <f t="shared" si="24"/>
        <v>-0.38230720939549145</v>
      </c>
      <c r="AQ30">
        <f t="shared" si="25"/>
        <v>0.63632283763025754</v>
      </c>
      <c r="AS30">
        <f t="shared" si="26"/>
        <v>1.1267335918051091</v>
      </c>
      <c r="AT30">
        <f t="shared" si="27"/>
        <v>-0.10810354477936002</v>
      </c>
      <c r="AV30">
        <f t="shared" si="29"/>
        <v>2.8776689060104785</v>
      </c>
      <c r="AW30">
        <f t="shared" si="30"/>
        <v>3.6217797448327649</v>
      </c>
      <c r="AX30">
        <f t="shared" si="31"/>
        <v>3.36930925610993</v>
      </c>
      <c r="AY30">
        <f t="shared" si="32"/>
        <v>2.8090368549524269</v>
      </c>
      <c r="AZ30">
        <f t="shared" si="33"/>
        <v>-0.89875883717575544</v>
      </c>
      <c r="BA30">
        <f t="shared" si="34"/>
        <v>1.9355606567256913</v>
      </c>
      <c r="BB30">
        <f t="shared" si="35"/>
        <v>11.91898204984318</v>
      </c>
    </row>
    <row r="31" spans="1:54" x14ac:dyDescent="0.25">
      <c r="A31" s="1">
        <v>37347</v>
      </c>
      <c r="B31">
        <v>186247</v>
      </c>
      <c r="C31">
        <v>107409</v>
      </c>
      <c r="D31">
        <v>30620</v>
      </c>
      <c r="E31">
        <v>49725</v>
      </c>
      <c r="F31">
        <v>49173</v>
      </c>
      <c r="G31">
        <v>52439</v>
      </c>
      <c r="H31">
        <f>'[1]Sheet 1'!H31</f>
        <v>247567.82008177199</v>
      </c>
      <c r="I31">
        <f>'[1]Sheet 1'!I31</f>
        <v>44628.566121219301</v>
      </c>
      <c r="J31">
        <f>'[1]Sheet 1'!J31</f>
        <v>138441.48596579299</v>
      </c>
      <c r="K31">
        <f>'[1]Sheet 1'!K31</f>
        <v>57969.534006839298</v>
      </c>
      <c r="L31">
        <f>'[1]Sheet 1'!L31</f>
        <v>61931.841960981699</v>
      </c>
      <c r="M31">
        <f>'[1]Sheet 1'!M31</f>
        <v>65234.570247478398</v>
      </c>
      <c r="N31">
        <f t="shared" si="0"/>
        <v>9830.9622744170701</v>
      </c>
      <c r="O31">
        <v>11.15</v>
      </c>
      <c r="P31">
        <v>75.986666666666693</v>
      </c>
      <c r="R31">
        <f t="shared" si="3"/>
        <v>0.83837072521201572</v>
      </c>
      <c r="S31">
        <f t="shared" si="4"/>
        <v>0.62448640717548742</v>
      </c>
      <c r="T31">
        <f t="shared" si="5"/>
        <v>0.95512495148205834</v>
      </c>
      <c r="U31">
        <f t="shared" si="6"/>
        <v>0.34043409793810309</v>
      </c>
      <c r="V31">
        <f t="shared" si="7"/>
        <v>-1.0141607403063651E-2</v>
      </c>
      <c r="W31">
        <f t="shared" si="8"/>
        <v>-0.90661347138943016</v>
      </c>
      <c r="X31">
        <f t="shared" si="9"/>
        <v>-3.1113880969225103</v>
      </c>
      <c r="Y31">
        <f t="shared" si="10"/>
        <v>1.3290660977019579</v>
      </c>
      <c r="Z31">
        <f t="shared" si="36"/>
        <v>3.3269875804551083</v>
      </c>
      <c r="AA31">
        <f t="shared" si="11"/>
        <v>1</v>
      </c>
      <c r="AB31">
        <f t="shared" si="12"/>
        <v>0.18065121394214331</v>
      </c>
      <c r="AC31">
        <f t="shared" si="13"/>
        <v>0.55855958523548288</v>
      </c>
      <c r="AD31">
        <f t="shared" si="14"/>
        <v>0.23531816936381289</v>
      </c>
      <c r="AE31">
        <f t="shared" si="15"/>
        <v>0.25228397841322669</v>
      </c>
      <c r="AF31">
        <f t="shared" si="16"/>
        <v>0.26814194941802083</v>
      </c>
      <c r="AG31">
        <f t="shared" si="17"/>
        <v>4.1329002463355101E-2</v>
      </c>
      <c r="AJ31">
        <f t="shared" si="18"/>
        <v>0.47275151316305503</v>
      </c>
      <c r="AK31">
        <f t="shared" si="19"/>
        <v>0.14391016099714563</v>
      </c>
      <c r="AL31">
        <f t="shared" si="20"/>
        <v>0.12600320618136809</v>
      </c>
      <c r="AM31">
        <f t="shared" si="21"/>
        <v>0.33597360585705105</v>
      </c>
      <c r="AN31">
        <f t="shared" si="22"/>
        <v>0.43021591773100204</v>
      </c>
      <c r="AO31">
        <f t="shared" si="23"/>
        <v>-0.87945525611494935</v>
      </c>
      <c r="AP31">
        <f t="shared" si="24"/>
        <v>0.31610387851144672</v>
      </c>
      <c r="AQ31">
        <f t="shared" si="25"/>
        <v>0.47275151316306419</v>
      </c>
      <c r="AS31">
        <f t="shared" si="26"/>
        <v>0.60588697303556471</v>
      </c>
      <c r="AT31">
        <f t="shared" si="27"/>
        <v>-0.44923933838394731</v>
      </c>
      <c r="AV31">
        <f t="shared" si="29"/>
        <v>2.9398679905955118</v>
      </c>
      <c r="AW31">
        <f t="shared" si="30"/>
        <v>3.2177123378675647</v>
      </c>
      <c r="AX31">
        <f t="shared" si="31"/>
        <v>3.289019495237381</v>
      </c>
      <c r="AY31">
        <f t="shared" si="32"/>
        <v>1.9881741875977084</v>
      </c>
      <c r="AZ31">
        <f t="shared" si="33"/>
        <v>-0.35925457790022769</v>
      </c>
      <c r="BA31">
        <f t="shared" si="34"/>
        <v>0.28686252597398926</v>
      </c>
      <c r="BB31">
        <f t="shared" si="35"/>
        <v>5.9319038380925475</v>
      </c>
    </row>
    <row r="32" spans="1:54" x14ac:dyDescent="0.25">
      <c r="A32" s="1">
        <v>37438</v>
      </c>
      <c r="B32">
        <v>188921</v>
      </c>
      <c r="C32">
        <v>108738</v>
      </c>
      <c r="D32">
        <v>31349</v>
      </c>
      <c r="E32">
        <v>50260</v>
      </c>
      <c r="F32">
        <v>49974</v>
      </c>
      <c r="G32">
        <v>53184</v>
      </c>
      <c r="H32">
        <f>'[1]Sheet 1'!H32</f>
        <v>248954.49843917901</v>
      </c>
      <c r="I32">
        <f>'[1]Sheet 1'!I32</f>
        <v>44844.321837725503</v>
      </c>
      <c r="J32">
        <f>'[1]Sheet 1'!J32</f>
        <v>140487.42732359201</v>
      </c>
      <c r="K32">
        <f>'[1]Sheet 1'!K32</f>
        <v>58772.831613542097</v>
      </c>
      <c r="L32">
        <f>'[1]Sheet 1'!L32</f>
        <v>62851.439472058097</v>
      </c>
      <c r="M32">
        <f>'[1]Sheet 1'!M32</f>
        <v>66838.3176559454</v>
      </c>
      <c r="N32">
        <f t="shared" si="0"/>
        <v>8836.7958482066679</v>
      </c>
      <c r="O32">
        <v>11.49</v>
      </c>
      <c r="P32">
        <v>76.31</v>
      </c>
      <c r="R32">
        <f t="shared" si="3"/>
        <v>0.56012059925599067</v>
      </c>
      <c r="S32">
        <f t="shared" si="4"/>
        <v>0.48344756566942088</v>
      </c>
      <c r="T32">
        <f t="shared" si="5"/>
        <v>1.4778383398055581</v>
      </c>
      <c r="U32">
        <f t="shared" si="6"/>
        <v>1.3857237607051069</v>
      </c>
      <c r="V32">
        <f t="shared" si="7"/>
        <v>1.4848541266635704</v>
      </c>
      <c r="W32">
        <f t="shared" si="8"/>
        <v>2.4584317829992828</v>
      </c>
      <c r="X32">
        <f t="shared" si="9"/>
        <v>-10.112605444509772</v>
      </c>
      <c r="Y32">
        <f t="shared" si="10"/>
        <v>0.425513247938203</v>
      </c>
      <c r="Z32">
        <f t="shared" si="36"/>
        <v>2.885263583659162</v>
      </c>
      <c r="AA32">
        <f t="shared" si="11"/>
        <v>1</v>
      </c>
      <c r="AB32">
        <f t="shared" si="12"/>
        <v>0.18026804172884192</v>
      </c>
      <c r="AC32">
        <f t="shared" si="13"/>
        <v>0.55920630524623749</v>
      </c>
      <c r="AD32">
        <f t="shared" si="14"/>
        <v>0.23415617582160669</v>
      </c>
      <c r="AE32">
        <f t="shared" si="15"/>
        <v>0.25016111520683715</v>
      </c>
      <c r="AF32">
        <f t="shared" si="16"/>
        <v>0.26350181629394048</v>
      </c>
      <c r="AG32">
        <f t="shared" si="17"/>
        <v>3.9710178290417106E-2</v>
      </c>
      <c r="AJ32">
        <f t="shared" si="18"/>
        <v>0.83837072521201572</v>
      </c>
      <c r="AK32">
        <f t="shared" si="19"/>
        <v>0.11281422754661941</v>
      </c>
      <c r="AL32">
        <f t="shared" si="20"/>
        <v>0.53349419674787923</v>
      </c>
      <c r="AM32">
        <f t="shared" si="21"/>
        <v>8.0110328715815401E-2</v>
      </c>
      <c r="AN32">
        <f t="shared" si="22"/>
        <v>-2.5585650631499302E-3</v>
      </c>
      <c r="AO32">
        <f t="shared" si="23"/>
        <v>0.24310110358700085</v>
      </c>
      <c r="AP32">
        <f t="shared" si="24"/>
        <v>-0.12859056632216417</v>
      </c>
      <c r="AQ32">
        <f t="shared" si="25"/>
        <v>0.83837072521200084</v>
      </c>
      <c r="AS32">
        <f t="shared" si="26"/>
        <v>0.726418753010314</v>
      </c>
      <c r="AT32">
        <f t="shared" si="27"/>
        <v>0.24054253852385091</v>
      </c>
      <c r="AV32">
        <f t="shared" si="29"/>
        <v>2.5308743887326406</v>
      </c>
      <c r="AW32">
        <f t="shared" si="30"/>
        <v>2.4710778659596282</v>
      </c>
      <c r="AX32">
        <f t="shared" si="31"/>
        <v>4.3043961989992052</v>
      </c>
      <c r="AY32">
        <f t="shared" si="32"/>
        <v>3.8626255486445014</v>
      </c>
      <c r="AZ32">
        <f t="shared" si="33"/>
        <v>1.4077839065586937</v>
      </c>
      <c r="BA32">
        <f t="shared" si="34"/>
        <v>3.606067827030452</v>
      </c>
      <c r="BB32">
        <f t="shared" si="35"/>
        <v>-14.226919597791049</v>
      </c>
    </row>
    <row r="33" spans="1:54" x14ac:dyDescent="0.25">
      <c r="A33" s="1">
        <v>37530</v>
      </c>
      <c r="B33">
        <v>191784</v>
      </c>
      <c r="C33">
        <v>110854</v>
      </c>
      <c r="D33">
        <v>32043</v>
      </c>
      <c r="E33">
        <v>52002</v>
      </c>
      <c r="F33">
        <v>50752</v>
      </c>
      <c r="G33">
        <v>55664</v>
      </c>
      <c r="H33">
        <f>'[1]Sheet 1'!H33</f>
        <v>250898.16303420099</v>
      </c>
      <c r="I33">
        <f>'[1]Sheet 1'!I33</f>
        <v>45320.896173552603</v>
      </c>
      <c r="J33">
        <f>'[1]Sheet 1'!J33</f>
        <v>142416.88472776001</v>
      </c>
      <c r="K33">
        <f>'[1]Sheet 1'!K33</f>
        <v>59899.6157847836</v>
      </c>
      <c r="L33">
        <f>'[1]Sheet 1'!L33</f>
        <v>64353.7556455288</v>
      </c>
      <c r="M33">
        <f>'[1]Sheet 1'!M33</f>
        <v>69401.304387755299</v>
      </c>
      <c r="N33">
        <f t="shared" si="0"/>
        <v>8308.315090331278</v>
      </c>
      <c r="O33">
        <v>11.61</v>
      </c>
      <c r="P33">
        <v>77.066666666666706</v>
      </c>
      <c r="R33">
        <f t="shared" si="3"/>
        <v>0.78073085933686426</v>
      </c>
      <c r="S33">
        <f t="shared" si="4"/>
        <v>1.0627306118077557</v>
      </c>
      <c r="T33">
        <f t="shared" si="5"/>
        <v>1.3734021904492439</v>
      </c>
      <c r="U33">
        <f t="shared" si="6"/>
        <v>1.9171854414819036</v>
      </c>
      <c r="V33">
        <f t="shared" si="7"/>
        <v>2.3902653401257234</v>
      </c>
      <c r="W33">
        <f t="shared" si="8"/>
        <v>3.8346068867308118</v>
      </c>
      <c r="X33">
        <f t="shared" si="9"/>
        <v>-5.9804567962565214</v>
      </c>
      <c r="Y33">
        <f t="shared" si="10"/>
        <v>0.99156947538553697</v>
      </c>
      <c r="Z33">
        <f t="shared" si="36"/>
        <v>2.7692581233053883</v>
      </c>
      <c r="AA33">
        <f t="shared" si="11"/>
        <v>1</v>
      </c>
      <c r="AB33">
        <f t="shared" si="12"/>
        <v>0.18013059462221859</v>
      </c>
      <c r="AC33">
        <f t="shared" si="13"/>
        <v>0.56430965579806092</v>
      </c>
      <c r="AD33">
        <f t="shared" si="14"/>
        <v>0.23607860866953015</v>
      </c>
      <c r="AE33">
        <f t="shared" si="15"/>
        <v>0.25246155368191936</v>
      </c>
      <c r="AF33">
        <f t="shared" si="16"/>
        <v>0.26847603909545092</v>
      </c>
      <c r="AG33">
        <f t="shared" si="17"/>
        <v>3.5495626323721753E-2</v>
      </c>
      <c r="AJ33">
        <f t="shared" si="18"/>
        <v>0.56012059925599067</v>
      </c>
      <c r="AK33">
        <f t="shared" si="19"/>
        <v>8.7150145941802204E-2</v>
      </c>
      <c r="AL33">
        <f t="shared" si="20"/>
        <v>0.82641651775389979</v>
      </c>
      <c r="AM33">
        <f t="shared" si="21"/>
        <v>0.32447577655184306</v>
      </c>
      <c r="AN33">
        <f t="shared" si="22"/>
        <v>0.371452764245633</v>
      </c>
      <c r="AO33">
        <f t="shared" si="23"/>
        <v>-0.64780124005506157</v>
      </c>
      <c r="AP33">
        <f t="shared" si="24"/>
        <v>-0.40157336518212577</v>
      </c>
      <c r="AQ33">
        <f t="shared" si="25"/>
        <v>0.560120599255991</v>
      </c>
      <c r="AS33">
        <f t="shared" si="26"/>
        <v>1.2380424402475452</v>
      </c>
      <c r="AT33">
        <f t="shared" si="27"/>
        <v>-0.27634847580942856</v>
      </c>
      <c r="AV33">
        <f t="shared" si="29"/>
        <v>2.6780009958744211</v>
      </c>
      <c r="AW33">
        <f t="shared" si="30"/>
        <v>3.0021638952682124</v>
      </c>
      <c r="AX33">
        <f t="shared" si="31"/>
        <v>4.0877915362474333</v>
      </c>
      <c r="AY33">
        <f t="shared" si="32"/>
        <v>5.175818456190485</v>
      </c>
      <c r="AZ33">
        <f t="shared" si="33"/>
        <v>5.6939753246937785</v>
      </c>
      <c r="BA33">
        <f t="shared" si="34"/>
        <v>8.9803197984599592</v>
      </c>
      <c r="BB33">
        <f t="shared" si="35"/>
        <v>-11.370889615038477</v>
      </c>
    </row>
    <row r="34" spans="1:54" x14ac:dyDescent="0.25">
      <c r="A34" s="1">
        <v>37622</v>
      </c>
      <c r="B34">
        <v>195576</v>
      </c>
      <c r="C34">
        <v>111370</v>
      </c>
      <c r="D34">
        <v>32622</v>
      </c>
      <c r="E34">
        <v>53705</v>
      </c>
      <c r="F34">
        <v>50852</v>
      </c>
      <c r="G34">
        <v>54764</v>
      </c>
      <c r="H34">
        <f>'[1]Sheet 1'!H34</f>
        <v>253316.66333711401</v>
      </c>
      <c r="I34">
        <f>'[1]Sheet 1'!I34</f>
        <v>45180.056944379699</v>
      </c>
      <c r="J34">
        <f>'[1]Sheet 1'!J34</f>
        <v>143323.371453028</v>
      </c>
      <c r="K34">
        <f>'[1]Sheet 1'!K34</f>
        <v>60816.662366943303</v>
      </c>
      <c r="L34">
        <f>'[1]Sheet 1'!L34</f>
        <v>64164.363475426901</v>
      </c>
      <c r="M34">
        <f>'[1]Sheet 1'!M34</f>
        <v>67826.830500536104</v>
      </c>
      <c r="N34">
        <f t="shared" si="0"/>
        <v>7659.0395978722081</v>
      </c>
      <c r="O34">
        <v>11.99</v>
      </c>
      <c r="P34">
        <v>77.673333333333304</v>
      </c>
      <c r="R34">
        <f t="shared" si="3"/>
        <v>0.96393703073200288</v>
      </c>
      <c r="S34">
        <f t="shared" si="4"/>
        <v>-0.31076002697204219</v>
      </c>
      <c r="T34">
        <f t="shared" si="5"/>
        <v>0.63650228482444127</v>
      </c>
      <c r="U34">
        <f t="shared" si="6"/>
        <v>1.5309723946387341</v>
      </c>
      <c r="V34">
        <f t="shared" si="7"/>
        <v>-0.29429855056960863</v>
      </c>
      <c r="W34">
        <f t="shared" si="8"/>
        <v>-2.2686517221958513</v>
      </c>
      <c r="X34">
        <f t="shared" si="9"/>
        <v>-7.8147673192445257</v>
      </c>
      <c r="Y34">
        <f t="shared" si="10"/>
        <v>0.78719723183382062</v>
      </c>
      <c r="Z34">
        <f t="shared" si="36"/>
        <v>2.2196876645024699</v>
      </c>
      <c r="AA34">
        <f t="shared" si="11"/>
        <v>1</v>
      </c>
      <c r="AB34">
        <f t="shared" si="12"/>
        <v>0.18063462731440852</v>
      </c>
      <c r="AC34">
        <f t="shared" si="13"/>
        <v>0.56762824807269141</v>
      </c>
      <c r="AD34">
        <f t="shared" si="14"/>
        <v>0.23874075067109371</v>
      </c>
      <c r="AE34">
        <f t="shared" si="15"/>
        <v>0.25649353055150292</v>
      </c>
      <c r="AF34">
        <f t="shared" si="16"/>
        <v>0.27661144883828787</v>
      </c>
      <c r="AG34">
        <f t="shared" si="17"/>
        <v>3.3114292228591316E-2</v>
      </c>
      <c r="AJ34">
        <f t="shared" si="18"/>
        <v>0.78073085933686426</v>
      </c>
      <c r="AK34">
        <f t="shared" si="19"/>
        <v>0.19143029702816519</v>
      </c>
      <c r="AL34">
        <f t="shared" si="20"/>
        <v>0.77502411736471577</v>
      </c>
      <c r="AM34">
        <f t="shared" si="21"/>
        <v>0.45260647158652673</v>
      </c>
      <c r="AN34">
        <f t="shared" si="22"/>
        <v>0.60345010148018152</v>
      </c>
      <c r="AO34">
        <f t="shared" si="23"/>
        <v>-1.0295000684376268</v>
      </c>
      <c r="AP34">
        <f t="shared" si="24"/>
        <v>-0.21228005968508365</v>
      </c>
      <c r="AQ34">
        <f t="shared" si="25"/>
        <v>0.7807308593368788</v>
      </c>
      <c r="AS34">
        <f t="shared" si="26"/>
        <v>1.4190608859794076</v>
      </c>
      <c r="AT34">
        <f t="shared" si="27"/>
        <v>-0.42604996695744524</v>
      </c>
      <c r="AV34">
        <f t="shared" si="29"/>
        <v>3.179967412664511</v>
      </c>
      <c r="AW34">
        <f t="shared" si="30"/>
        <v>1.8679384304391335</v>
      </c>
      <c r="AX34">
        <f t="shared" si="31"/>
        <v>4.5151225629235725</v>
      </c>
      <c r="AY34">
        <f t="shared" si="32"/>
        <v>5.2685761035592185</v>
      </c>
      <c r="AZ34">
        <f t="shared" si="33"/>
        <v>3.5942968045602166</v>
      </c>
      <c r="BA34">
        <f t="shared" si="34"/>
        <v>3.0311122814514189</v>
      </c>
      <c r="BB34">
        <f t="shared" si="35"/>
        <v>-24.516675536470355</v>
      </c>
    </row>
    <row r="35" spans="1:54" x14ac:dyDescent="0.25">
      <c r="A35" s="1">
        <v>37712</v>
      </c>
      <c r="B35">
        <v>199242</v>
      </c>
      <c r="C35">
        <v>113640</v>
      </c>
      <c r="D35">
        <v>33252</v>
      </c>
      <c r="E35">
        <v>54132</v>
      </c>
      <c r="F35">
        <v>51269</v>
      </c>
      <c r="G35">
        <v>54862</v>
      </c>
      <c r="H35">
        <f>'[1]Sheet 1'!H35</f>
        <v>254287.50756983401</v>
      </c>
      <c r="I35">
        <f>'[1]Sheet 1'!I35</f>
        <v>45597.347900223998</v>
      </c>
      <c r="J35">
        <f>'[1]Sheet 1'!J35</f>
        <v>145429.704315785</v>
      </c>
      <c r="K35">
        <f>'[1]Sheet 1'!K35</f>
        <v>61914.222878816101</v>
      </c>
      <c r="L35">
        <f>'[1]Sheet 1'!L35</f>
        <v>64846.381803563003</v>
      </c>
      <c r="M35">
        <f>'[1]Sheet 1'!M35</f>
        <v>70075.576611801502</v>
      </c>
      <c r="N35">
        <f t="shared" si="0"/>
        <v>6575.4272832474453</v>
      </c>
      <c r="O35">
        <v>11.28</v>
      </c>
      <c r="P35">
        <v>78.13</v>
      </c>
      <c r="R35">
        <f t="shared" si="3"/>
        <v>0.38325320566377524</v>
      </c>
      <c r="S35">
        <f t="shared" si="4"/>
        <v>0.92361759605132354</v>
      </c>
      <c r="T35">
        <f t="shared" si="5"/>
        <v>1.4696366973528239</v>
      </c>
      <c r="U35">
        <f t="shared" si="6"/>
        <v>1.8047036275199699</v>
      </c>
      <c r="V35">
        <f t="shared" si="7"/>
        <v>1.0629238586576111</v>
      </c>
      <c r="W35">
        <f t="shared" si="8"/>
        <v>3.3154226648518157</v>
      </c>
      <c r="X35">
        <f t="shared" si="9"/>
        <v>-14.148148743424777</v>
      </c>
      <c r="Y35">
        <f t="shared" si="10"/>
        <v>0.58793236632052026</v>
      </c>
      <c r="Z35">
        <f t="shared" si="36"/>
        <v>2.3850085178875551</v>
      </c>
      <c r="AA35">
        <f t="shared" si="11"/>
        <v>1</v>
      </c>
      <c r="AB35">
        <f t="shared" si="12"/>
        <v>0.17835406620785166</v>
      </c>
      <c r="AC35">
        <f t="shared" si="13"/>
        <v>0.5657873807626036</v>
      </c>
      <c r="AD35">
        <f t="shared" si="14"/>
        <v>0.24008157049664136</v>
      </c>
      <c r="AE35">
        <f t="shared" si="15"/>
        <v>0.25329704974850753</v>
      </c>
      <c r="AF35">
        <f t="shared" si="16"/>
        <v>0.26775510780462203</v>
      </c>
      <c r="AG35">
        <f t="shared" si="17"/>
        <v>3.0235040589017836E-2</v>
      </c>
      <c r="AJ35">
        <f t="shared" si="18"/>
        <v>0.96393703073200288</v>
      </c>
      <c r="AK35">
        <f t="shared" si="19"/>
        <v>-5.613402165631038E-2</v>
      </c>
      <c r="AL35">
        <f t="shared" si="20"/>
        <v>0.36129667682916283</v>
      </c>
      <c r="AM35">
        <f t="shared" si="21"/>
        <v>0.36550549875277333</v>
      </c>
      <c r="AN35">
        <f t="shared" si="22"/>
        <v>-7.5485674271788941E-2</v>
      </c>
      <c r="AO35">
        <f t="shared" si="23"/>
        <v>0.62753503978607139</v>
      </c>
      <c r="AP35">
        <f t="shared" si="24"/>
        <v>-0.25878048870790837</v>
      </c>
      <c r="AQ35">
        <f t="shared" si="25"/>
        <v>0.96393703073199988</v>
      </c>
      <c r="AS35">
        <f t="shared" si="26"/>
        <v>0.67066815392562584</v>
      </c>
      <c r="AT35">
        <f t="shared" si="27"/>
        <v>0.55204936551428241</v>
      </c>
      <c r="AV35">
        <f t="shared" si="29"/>
        <v>2.7142814788458751</v>
      </c>
      <c r="AW35">
        <f t="shared" si="30"/>
        <v>2.1707660881895916</v>
      </c>
      <c r="AX35">
        <f t="shared" si="31"/>
        <v>5.0477776233337313</v>
      </c>
      <c r="AY35">
        <f t="shared" si="32"/>
        <v>6.8047620867737271</v>
      </c>
      <c r="AZ35">
        <f t="shared" si="33"/>
        <v>4.7060441774322195</v>
      </c>
      <c r="BA35">
        <f t="shared" si="34"/>
        <v>7.4209216768929815</v>
      </c>
      <c r="BB35">
        <f t="shared" si="35"/>
        <v>-33.115120374751541</v>
      </c>
    </row>
    <row r="36" spans="1:54" x14ac:dyDescent="0.25">
      <c r="A36" s="1">
        <v>37803</v>
      </c>
      <c r="B36">
        <v>202157</v>
      </c>
      <c r="C36">
        <v>115406</v>
      </c>
      <c r="D36">
        <v>33783</v>
      </c>
      <c r="E36">
        <v>55887</v>
      </c>
      <c r="F36">
        <v>51356</v>
      </c>
      <c r="G36">
        <v>56087</v>
      </c>
      <c r="H36">
        <f>'[1]Sheet 1'!H36</f>
        <v>256181.20431688</v>
      </c>
      <c r="I36">
        <f>'[1]Sheet 1'!I36</f>
        <v>46107.307396025499</v>
      </c>
      <c r="J36">
        <f>'[1]Sheet 1'!J36</f>
        <v>146680.93441172899</v>
      </c>
      <c r="K36">
        <f>'[1]Sheet 1'!K36</f>
        <v>63153.619454201602</v>
      </c>
      <c r="L36">
        <f>'[1]Sheet 1'!L36</f>
        <v>65003.936125896798</v>
      </c>
      <c r="M36">
        <f>'[1]Sheet 1'!M36</f>
        <v>71737.135136252007</v>
      </c>
      <c r="N36">
        <f t="shared" si="0"/>
        <v>6972.5420652791072</v>
      </c>
      <c r="O36">
        <v>11.3</v>
      </c>
      <c r="P36">
        <v>78.540000000000006</v>
      </c>
      <c r="R36">
        <f t="shared" ref="R36:R67" si="37">((H36-H35)/H35)*100</f>
        <v>0.74470695204165094</v>
      </c>
      <c r="S36">
        <f t="shared" ref="S36:S67" si="38">((I36-I35)/I35)*100</f>
        <v>1.1183972737129197</v>
      </c>
      <c r="T36">
        <f t="shared" ref="T36:T67" si="39">((J36-J35)/J35)*100</f>
        <v>0.8603676269787891</v>
      </c>
      <c r="U36">
        <f t="shared" ref="U36:U67" si="40">((K36-K35)/K35)*100</f>
        <v>2.0017962234805977</v>
      </c>
      <c r="V36">
        <f t="shared" ref="V36:V67" si="41">((L36-L35)/L35)*100</f>
        <v>0.24296547926308287</v>
      </c>
      <c r="W36">
        <f t="shared" ref="W36:W67" si="42">((M36-M35)/M35)*100</f>
        <v>2.3710950445046794</v>
      </c>
      <c r="X36">
        <f t="shared" si="9"/>
        <v>6.0393760728433827</v>
      </c>
      <c r="Y36">
        <f t="shared" si="10"/>
        <v>0.52476641494945708</v>
      </c>
      <c r="Z36">
        <f t="shared" si="36"/>
        <v>1.9117647058823097</v>
      </c>
      <c r="AA36">
        <f t="shared" si="11"/>
        <v>1</v>
      </c>
      <c r="AB36">
        <f t="shared" si="12"/>
        <v>0.17931414852419272</v>
      </c>
      <c r="AC36">
        <f t="shared" si="13"/>
        <v>0.57191053428311334</v>
      </c>
      <c r="AD36">
        <f t="shared" si="14"/>
        <v>0.24348118187368223</v>
      </c>
      <c r="AE36">
        <f t="shared" si="15"/>
        <v>0.25501206261874459</v>
      </c>
      <c r="AF36">
        <f t="shared" si="16"/>
        <v>0.27557616684160907</v>
      </c>
      <c r="AG36">
        <f t="shared" si="17"/>
        <v>2.5858239541876278E-2</v>
      </c>
      <c r="AJ36">
        <f t="shared" si="18"/>
        <v>0.38325320566377524</v>
      </c>
      <c r="AK36">
        <f t="shared" si="19"/>
        <v>0.16473095387687456</v>
      </c>
      <c r="AL36">
        <f t="shared" si="20"/>
        <v>0.83150189766785743</v>
      </c>
      <c r="AM36">
        <f t="shared" si="21"/>
        <v>0.43327608117598004</v>
      </c>
      <c r="AN36">
        <f t="shared" si="22"/>
        <v>0.26923547750527249</v>
      </c>
      <c r="AO36">
        <f t="shared" si="23"/>
        <v>-0.88772135304528521</v>
      </c>
      <c r="AP36">
        <f t="shared" si="24"/>
        <v>-0.42776985151690983</v>
      </c>
      <c r="AQ36">
        <f t="shared" si="25"/>
        <v>0.38325320566378951</v>
      </c>
      <c r="AS36">
        <f t="shared" si="26"/>
        <v>1.429508932720712</v>
      </c>
      <c r="AT36">
        <f t="shared" si="27"/>
        <v>-0.61848587554001266</v>
      </c>
      <c r="AV36">
        <f t="shared" si="29"/>
        <v>2.9028219706849443</v>
      </c>
      <c r="AW36">
        <f t="shared" si="30"/>
        <v>2.8163778747067649</v>
      </c>
      <c r="AX36">
        <f t="shared" si="31"/>
        <v>4.4085846015751624</v>
      </c>
      <c r="AY36">
        <f t="shared" si="32"/>
        <v>7.453763448841741</v>
      </c>
      <c r="AZ36">
        <f t="shared" si="33"/>
        <v>3.4247372405776613</v>
      </c>
      <c r="BA36">
        <f t="shared" si="34"/>
        <v>7.3293548552846417</v>
      </c>
      <c r="BB36">
        <f t="shared" si="35"/>
        <v>-21.096490345037118</v>
      </c>
    </row>
    <row r="37" spans="1:54" x14ac:dyDescent="0.25">
      <c r="A37" s="1">
        <v>37895</v>
      </c>
      <c r="B37">
        <v>205708</v>
      </c>
      <c r="C37">
        <v>117638</v>
      </c>
      <c r="D37">
        <v>34433</v>
      </c>
      <c r="E37">
        <v>57243</v>
      </c>
      <c r="F37">
        <v>52135</v>
      </c>
      <c r="G37">
        <v>57595</v>
      </c>
      <c r="H37">
        <f>'[1]Sheet 1'!H37</f>
        <v>258329.25717142201</v>
      </c>
      <c r="I37">
        <f>'[1]Sheet 1'!I37</f>
        <v>46688.745979050203</v>
      </c>
      <c r="J37">
        <f>'[1]Sheet 1'!J37</f>
        <v>147594.58623080599</v>
      </c>
      <c r="K37">
        <f>'[1]Sheet 1'!K37</f>
        <v>64613.137747483997</v>
      </c>
      <c r="L37">
        <f>'[1]Sheet 1'!L37</f>
        <v>65849.790297683096</v>
      </c>
      <c r="M37">
        <f>'[1]Sheet 1'!M37</f>
        <v>73788.571172739001</v>
      </c>
      <c r="N37">
        <f t="shared" si="0"/>
        <v>7371.5680891377851</v>
      </c>
      <c r="O37">
        <v>11.37</v>
      </c>
      <c r="P37">
        <v>79.08</v>
      </c>
      <c r="R37">
        <f t="shared" si="37"/>
        <v>0.83848963871877324</v>
      </c>
      <c r="S37">
        <f t="shared" si="38"/>
        <v>1.2610551686104867</v>
      </c>
      <c r="T37">
        <f t="shared" si="39"/>
        <v>0.62288382790936336</v>
      </c>
      <c r="U37">
        <f t="shared" si="40"/>
        <v>2.3110604046072512</v>
      </c>
      <c r="V37">
        <f t="shared" si="41"/>
        <v>1.3012353131171681</v>
      </c>
      <c r="W37">
        <f t="shared" si="42"/>
        <v>2.8596570417687484</v>
      </c>
      <c r="X37">
        <f t="shared" si="9"/>
        <v>5.7228198858159942</v>
      </c>
      <c r="Y37">
        <f t="shared" si="10"/>
        <v>0.68754774637126559</v>
      </c>
      <c r="Z37">
        <f t="shared" si="36"/>
        <v>1.8110033473521956</v>
      </c>
      <c r="AA37">
        <f t="shared" si="11"/>
        <v>1</v>
      </c>
      <c r="AB37">
        <f t="shared" si="12"/>
        <v>0.17997927490025251</v>
      </c>
      <c r="AC37">
        <f t="shared" si="13"/>
        <v>0.57256712022593947</v>
      </c>
      <c r="AD37">
        <f t="shared" si="14"/>
        <v>0.24651933237102186</v>
      </c>
      <c r="AE37">
        <f t="shared" si="15"/>
        <v>0.25374201943984548</v>
      </c>
      <c r="AF37">
        <f t="shared" si="16"/>
        <v>0.28002497422690581</v>
      </c>
      <c r="AG37">
        <f t="shared" si="17"/>
        <v>2.7217227289846418E-2</v>
      </c>
      <c r="AJ37">
        <f t="shared" si="18"/>
        <v>0.74470695204165094</v>
      </c>
      <c r="AK37">
        <f t="shared" si="19"/>
        <v>0.20054445484761071</v>
      </c>
      <c r="AL37">
        <f t="shared" si="20"/>
        <v>0.49205330922533363</v>
      </c>
      <c r="AM37">
        <f t="shared" si="21"/>
        <v>0.48739971036332963</v>
      </c>
      <c r="AN37">
        <f t="shared" si="22"/>
        <v>6.195912801203058E-2</v>
      </c>
      <c r="AO37">
        <f t="shared" si="23"/>
        <v>-0.65341728358173401</v>
      </c>
      <c r="AP37">
        <f t="shared" si="24"/>
        <v>0.15616763317506022</v>
      </c>
      <c r="AQ37">
        <f t="shared" si="25"/>
        <v>0.74470695204163084</v>
      </c>
      <c r="AS37">
        <f t="shared" si="26"/>
        <v>1.179997474436274</v>
      </c>
      <c r="AT37">
        <f t="shared" si="27"/>
        <v>-0.59145815556970338</v>
      </c>
      <c r="AV37">
        <f t="shared" si="29"/>
        <v>2.9617969487516964</v>
      </c>
      <c r="AW37">
        <f t="shared" si="30"/>
        <v>3.0181437724874938</v>
      </c>
      <c r="AX37">
        <f t="shared" si="31"/>
        <v>3.6355952546943557</v>
      </c>
      <c r="AY37">
        <f t="shared" si="32"/>
        <v>7.8690353868643355</v>
      </c>
      <c r="AZ37">
        <f t="shared" si="33"/>
        <v>2.3247044980477969</v>
      </c>
      <c r="BA37">
        <f t="shared" si="34"/>
        <v>6.3215912491664374</v>
      </c>
      <c r="BB37">
        <f t="shared" si="35"/>
        <v>-11.27481313610293</v>
      </c>
    </row>
    <row r="38" spans="1:54" x14ac:dyDescent="0.25">
      <c r="A38" s="1">
        <v>37987</v>
      </c>
      <c r="B38">
        <v>209258</v>
      </c>
      <c r="C38">
        <v>120182</v>
      </c>
      <c r="D38">
        <v>35443</v>
      </c>
      <c r="E38">
        <v>57840</v>
      </c>
      <c r="F38">
        <v>53008</v>
      </c>
      <c r="G38">
        <v>59105</v>
      </c>
      <c r="H38">
        <f>'[1]Sheet 1'!H38</f>
        <v>259840.71399665801</v>
      </c>
      <c r="I38">
        <f>'[1]Sheet 1'!I38</f>
        <v>47205.297749035701</v>
      </c>
      <c r="J38">
        <f>'[1]Sheet 1'!J38</f>
        <v>151098.72653713301</v>
      </c>
      <c r="K38">
        <f>'[1]Sheet 1'!K38</f>
        <v>63671.505635354501</v>
      </c>
      <c r="L38">
        <f>'[1]Sheet 1'!L38</f>
        <v>67074.256713198803</v>
      </c>
      <c r="M38">
        <f>'[1]Sheet 1'!M38</f>
        <v>75881.873250786899</v>
      </c>
      <c r="N38">
        <f t="shared" si="0"/>
        <v>6672.8006127228873</v>
      </c>
      <c r="O38">
        <v>11.5</v>
      </c>
      <c r="P38">
        <v>79.516666666666694</v>
      </c>
      <c r="R38">
        <f t="shared" si="37"/>
        <v>0.58508929332500348</v>
      </c>
      <c r="S38">
        <f t="shared" si="38"/>
        <v>1.1063731936969996</v>
      </c>
      <c r="T38">
        <f t="shared" si="39"/>
        <v>2.3741658795311835</v>
      </c>
      <c r="U38">
        <f t="shared" si="40"/>
        <v>-1.4573384685472321</v>
      </c>
      <c r="V38">
        <f t="shared" si="41"/>
        <v>1.8594841532225661</v>
      </c>
      <c r="W38">
        <f t="shared" si="42"/>
        <v>2.8368920075000226</v>
      </c>
      <c r="X38">
        <f t="shared" si="9"/>
        <v>-9.479224338232072</v>
      </c>
      <c r="Y38">
        <f t="shared" si="10"/>
        <v>0.5521834429270307</v>
      </c>
      <c r="Z38">
        <f t="shared" si="36"/>
        <v>1.7748197448697027</v>
      </c>
      <c r="AA38">
        <f t="shared" si="11"/>
        <v>1</v>
      </c>
      <c r="AB38">
        <f t="shared" si="12"/>
        <v>0.18073348133412742</v>
      </c>
      <c r="AC38">
        <f t="shared" si="13"/>
        <v>0.57134289722694953</v>
      </c>
      <c r="AD38">
        <f t="shared" si="14"/>
        <v>0.25011931848125141</v>
      </c>
      <c r="AE38">
        <f t="shared" si="15"/>
        <v>0.25490643614550607</v>
      </c>
      <c r="AF38">
        <f t="shared" si="16"/>
        <v>0.28563768572204123</v>
      </c>
      <c r="AG38">
        <f t="shared" si="17"/>
        <v>2.8535552534207007E-2</v>
      </c>
      <c r="AJ38">
        <f t="shared" si="18"/>
        <v>0.83848963871877324</v>
      </c>
      <c r="AK38">
        <f t="shared" si="19"/>
        <v>0.22696379485573107</v>
      </c>
      <c r="AL38">
        <f t="shared" si="20"/>
        <v>0.35664279958137385</v>
      </c>
      <c r="AM38">
        <f t="shared" si="21"/>
        <v>0.56972106801288325</v>
      </c>
      <c r="AN38">
        <f t="shared" si="22"/>
        <v>0.3301780761167899</v>
      </c>
      <c r="AO38">
        <f t="shared" si="23"/>
        <v>-0.80077538941908344</v>
      </c>
      <c r="AP38">
        <f t="shared" si="24"/>
        <v>0.15575928957110685</v>
      </c>
      <c r="AQ38">
        <f t="shared" si="25"/>
        <v>0.83848963871880144</v>
      </c>
      <c r="AS38">
        <f t="shared" si="26"/>
        <v>1.1533276624499882</v>
      </c>
      <c r="AT38">
        <f t="shared" si="27"/>
        <v>-0.47059731330229354</v>
      </c>
      <c r="AV38">
        <f t="shared" si="29"/>
        <v>2.5754526266050637</v>
      </c>
      <c r="AW38">
        <f t="shared" si="30"/>
        <v>4.4825990528281903</v>
      </c>
      <c r="AX38">
        <f t="shared" si="31"/>
        <v>5.4250433863490777</v>
      </c>
      <c r="AY38">
        <f t="shared" si="32"/>
        <v>4.6941794523122962</v>
      </c>
      <c r="AZ38">
        <f t="shared" si="33"/>
        <v>4.5350613333619494</v>
      </c>
      <c r="BA38">
        <f t="shared" si="34"/>
        <v>11.875894378091466</v>
      </c>
      <c r="BB38">
        <f t="shared" si="35"/>
        <v>-12.876797051986937</v>
      </c>
    </row>
    <row r="39" spans="1:54" x14ac:dyDescent="0.25">
      <c r="A39" s="1">
        <v>38078</v>
      </c>
      <c r="B39">
        <v>212615</v>
      </c>
      <c r="C39">
        <v>122260</v>
      </c>
      <c r="D39">
        <v>36314</v>
      </c>
      <c r="E39">
        <v>60104</v>
      </c>
      <c r="F39">
        <v>54263</v>
      </c>
      <c r="G39">
        <v>62226</v>
      </c>
      <c r="H39">
        <f>'[1]Sheet 1'!H39</f>
        <v>262599.95550017903</v>
      </c>
      <c r="I39">
        <f>'[1]Sheet 1'!I39</f>
        <v>47449.776945914899</v>
      </c>
      <c r="J39">
        <f>'[1]Sheet 1'!J39</f>
        <v>153168.415062983</v>
      </c>
      <c r="K39">
        <f>'[1]Sheet 1'!K39</f>
        <v>64491.7599676073</v>
      </c>
      <c r="L39">
        <f>'[1]Sheet 1'!L39</f>
        <v>67989.207619465698</v>
      </c>
      <c r="M39">
        <f>'[1]Sheet 1'!M39</f>
        <v>77082.5782396172</v>
      </c>
      <c r="N39">
        <f t="shared" si="0"/>
        <v>6583.3741438253637</v>
      </c>
      <c r="O39">
        <v>11.09</v>
      </c>
      <c r="P39">
        <v>80.793333333333294</v>
      </c>
      <c r="R39">
        <f t="shared" si="37"/>
        <v>1.0618972912599456</v>
      </c>
      <c r="S39">
        <f t="shared" si="38"/>
        <v>0.51790627013721569</v>
      </c>
      <c r="T39">
        <f t="shared" si="39"/>
        <v>1.3697590795653394</v>
      </c>
      <c r="U39">
        <f t="shared" si="40"/>
        <v>1.2882596760792511</v>
      </c>
      <c r="V39">
        <f t="shared" si="41"/>
        <v>1.3640865379680784</v>
      </c>
      <c r="W39">
        <f t="shared" si="42"/>
        <v>1.5823344066138345</v>
      </c>
      <c r="X39">
        <f t="shared" si="9"/>
        <v>-1.3401639594477923</v>
      </c>
      <c r="Y39">
        <f t="shared" si="10"/>
        <v>1.6055334311464255</v>
      </c>
      <c r="Z39">
        <f t="shared" si="36"/>
        <v>2.869026398438105</v>
      </c>
      <c r="AA39">
        <f t="shared" si="11"/>
        <v>1</v>
      </c>
      <c r="AB39">
        <f t="shared" si="12"/>
        <v>0.18167013561101453</v>
      </c>
      <c r="AC39">
        <f t="shared" si="13"/>
        <v>0.58150520067873734</v>
      </c>
      <c r="AD39">
        <f t="shared" si="14"/>
        <v>0.24504052754478431</v>
      </c>
      <c r="AE39">
        <f t="shared" si="15"/>
        <v>0.25813605451400312</v>
      </c>
      <c r="AF39">
        <f t="shared" si="16"/>
        <v>0.29203226886054073</v>
      </c>
      <c r="AG39">
        <f t="shared" si="17"/>
        <v>2.5680350512001404E-2</v>
      </c>
      <c r="AJ39">
        <f t="shared" si="18"/>
        <v>0.58508929332500348</v>
      </c>
      <c r="AK39">
        <f t="shared" si="19"/>
        <v>0.19995867895161562</v>
      </c>
      <c r="AL39">
        <f t="shared" si="20"/>
        <v>1.3564628121087152</v>
      </c>
      <c r="AM39">
        <f t="shared" si="21"/>
        <v>-0.36450850454954437</v>
      </c>
      <c r="AN39">
        <f t="shared" si="22"/>
        <v>0.47399447856700844</v>
      </c>
      <c r="AO39">
        <f t="shared" si="23"/>
        <v>-0.81032326766566209</v>
      </c>
      <c r="AP39">
        <f t="shared" si="24"/>
        <v>-0.27049490408715493</v>
      </c>
      <c r="AQ39">
        <f t="shared" si="25"/>
        <v>0.58508929332497794</v>
      </c>
      <c r="AS39">
        <f t="shared" si="26"/>
        <v>1.1919129865107865</v>
      </c>
      <c r="AT39">
        <f t="shared" si="27"/>
        <v>-0.33632878909865366</v>
      </c>
      <c r="AV39">
        <f t="shared" si="29"/>
        <v>3.268917144135445</v>
      </c>
      <c r="AW39">
        <f t="shared" si="30"/>
        <v>4.0625806784736271</v>
      </c>
      <c r="AX39">
        <f t="shared" si="31"/>
        <v>5.3212724206563866</v>
      </c>
      <c r="AY39">
        <f t="shared" si="32"/>
        <v>4.1630775110206564</v>
      </c>
      <c r="AZ39">
        <f t="shared" si="33"/>
        <v>4.8465708162764631</v>
      </c>
      <c r="BA39">
        <f t="shared" si="34"/>
        <v>9.9992065233119209</v>
      </c>
      <c r="BB39">
        <f t="shared" si="35"/>
        <v>0.12085694564922102</v>
      </c>
    </row>
    <row r="40" spans="1:54" x14ac:dyDescent="0.25">
      <c r="A40" s="1">
        <v>38169</v>
      </c>
      <c r="B40">
        <v>216604</v>
      </c>
      <c r="C40">
        <v>124494</v>
      </c>
      <c r="D40">
        <v>37263</v>
      </c>
      <c r="E40">
        <v>61639</v>
      </c>
      <c r="F40">
        <v>54876</v>
      </c>
      <c r="G40">
        <v>63621</v>
      </c>
      <c r="H40">
        <f>'[1]Sheet 1'!H40</f>
        <v>264814.349847798</v>
      </c>
      <c r="I40">
        <f>'[1]Sheet 1'!I40</f>
        <v>47936.286780690702</v>
      </c>
      <c r="J40">
        <f>'[1]Sheet 1'!J40</f>
        <v>156359.74784532501</v>
      </c>
      <c r="K40">
        <f>'[1]Sheet 1'!K40</f>
        <v>66164.747018423703</v>
      </c>
      <c r="L40">
        <f>'[1]Sheet 1'!L40</f>
        <v>67803.429475326702</v>
      </c>
      <c r="M40">
        <f>'[1]Sheet 1'!M40</f>
        <v>78114.428978792406</v>
      </c>
      <c r="N40">
        <f t="shared" si="0"/>
        <v>4664.5677068242658</v>
      </c>
      <c r="O40">
        <v>10.74</v>
      </c>
      <c r="P40">
        <v>81.206666666666706</v>
      </c>
      <c r="R40">
        <f t="shared" si="37"/>
        <v>0.8432577010156671</v>
      </c>
      <c r="S40">
        <f t="shared" si="38"/>
        <v>1.0253153251496754</v>
      </c>
      <c r="T40">
        <f t="shared" si="39"/>
        <v>2.083544953461673</v>
      </c>
      <c r="U40">
        <f t="shared" si="40"/>
        <v>2.5941097772129407</v>
      </c>
      <c r="V40">
        <f t="shared" si="41"/>
        <v>-0.273246520504832</v>
      </c>
      <c r="W40">
        <f t="shared" si="42"/>
        <v>1.3386302881146737</v>
      </c>
      <c r="X40">
        <f t="shared" si="9"/>
        <v>-29.146246211766236</v>
      </c>
      <c r="Y40">
        <f t="shared" si="10"/>
        <v>0.51159336578935444</v>
      </c>
      <c r="Z40">
        <f t="shared" si="36"/>
        <v>2.6892598212780827</v>
      </c>
      <c r="AA40">
        <f t="shared" si="11"/>
        <v>1</v>
      </c>
      <c r="AB40">
        <f t="shared" si="12"/>
        <v>0.18069225052051674</v>
      </c>
      <c r="AC40">
        <f t="shared" si="13"/>
        <v>0.5832766223103133</v>
      </c>
      <c r="AD40">
        <f t="shared" si="14"/>
        <v>0.24558937888914964</v>
      </c>
      <c r="AE40">
        <f t="shared" si="15"/>
        <v>0.25890791752026532</v>
      </c>
      <c r="AF40">
        <f t="shared" si="16"/>
        <v>0.29353614357167951</v>
      </c>
      <c r="AG40">
        <f t="shared" si="17"/>
        <v>2.5069974331434628E-2</v>
      </c>
      <c r="AJ40">
        <f t="shared" si="18"/>
        <v>1.0618972912599456</v>
      </c>
      <c r="AK40">
        <f t="shared" si="19"/>
        <v>9.4088102329622697E-2</v>
      </c>
      <c r="AL40">
        <f t="shared" si="20"/>
        <v>0.7965220284441652</v>
      </c>
      <c r="AM40">
        <f t="shared" si="21"/>
        <v>0.31567583064113264</v>
      </c>
      <c r="AN40">
        <f t="shared" si="22"/>
        <v>0.35211991692674566</v>
      </c>
      <c r="AO40">
        <f t="shared" si="23"/>
        <v>-0.46209270685953552</v>
      </c>
      <c r="AP40">
        <f t="shared" si="24"/>
        <v>-3.4415880222170944E-2</v>
      </c>
      <c r="AQ40">
        <f t="shared" si="25"/>
        <v>1.0618972912599598</v>
      </c>
      <c r="AS40">
        <f t="shared" si="26"/>
        <v>1.2062859614149206</v>
      </c>
      <c r="AT40">
        <f t="shared" si="27"/>
        <v>-0.10997278993278986</v>
      </c>
      <c r="AV40">
        <f t="shared" si="29"/>
        <v>3.3699371325615854</v>
      </c>
      <c r="AW40">
        <f t="shared" si="30"/>
        <v>3.9667885373476897</v>
      </c>
      <c r="AX40">
        <f t="shared" si="31"/>
        <v>6.5985490700706073</v>
      </c>
      <c r="AY40">
        <f t="shared" si="32"/>
        <v>4.7679413947220262</v>
      </c>
      <c r="AZ40">
        <f t="shared" si="33"/>
        <v>4.3066520525895031</v>
      </c>
      <c r="BA40">
        <f t="shared" si="34"/>
        <v>8.889808368326749</v>
      </c>
      <c r="BB40">
        <f t="shared" si="35"/>
        <v>-33.10090260979235</v>
      </c>
    </row>
    <row r="41" spans="1:54" x14ac:dyDescent="0.25">
      <c r="A41" s="1">
        <v>38261</v>
      </c>
      <c r="B41">
        <v>221582</v>
      </c>
      <c r="C41">
        <v>126851</v>
      </c>
      <c r="D41">
        <v>37963</v>
      </c>
      <c r="E41">
        <v>63838</v>
      </c>
      <c r="F41">
        <v>56207</v>
      </c>
      <c r="G41">
        <v>65250</v>
      </c>
      <c r="H41">
        <f>'[1]Sheet 1'!H41</f>
        <v>266693.93138354999</v>
      </c>
      <c r="I41">
        <f>'[1]Sheet 1'!I41</f>
        <v>48497.760190472502</v>
      </c>
      <c r="J41">
        <f>'[1]Sheet 1'!J41</f>
        <v>157703.30529291599</v>
      </c>
      <c r="K41">
        <f>'[1]Sheet 1'!K41</f>
        <v>66920.119201423906</v>
      </c>
      <c r="L41">
        <f>'[1]Sheet 1'!L41</f>
        <v>68123.184724803607</v>
      </c>
      <c r="M41">
        <f>'[1]Sheet 1'!M41</f>
        <v>79753.010242151897</v>
      </c>
      <c r="N41">
        <f t="shared" si="0"/>
        <v>5202.5722160858713</v>
      </c>
      <c r="O41">
        <v>10.53</v>
      </c>
      <c r="P41">
        <v>81.7</v>
      </c>
      <c r="R41">
        <f t="shared" si="37"/>
        <v>0.7097732946995805</v>
      </c>
      <c r="S41">
        <f t="shared" si="38"/>
        <v>1.1712909937111942</v>
      </c>
      <c r="T41">
        <f t="shared" si="39"/>
        <v>0.85927322479444157</v>
      </c>
      <c r="U41">
        <f t="shared" si="40"/>
        <v>1.1416535497216793</v>
      </c>
      <c r="V41">
        <f t="shared" si="41"/>
        <v>0.47159155805424485</v>
      </c>
      <c r="W41">
        <f t="shared" si="42"/>
        <v>2.0976678505892368</v>
      </c>
      <c r="X41">
        <f t="shared" si="9"/>
        <v>11.533855719888139</v>
      </c>
      <c r="Y41">
        <f t="shared" si="10"/>
        <v>0.6075034890402633</v>
      </c>
      <c r="Z41">
        <f t="shared" si="36"/>
        <v>2.7457556067909974</v>
      </c>
      <c r="AA41">
        <f t="shared" si="11"/>
        <v>1</v>
      </c>
      <c r="AB41">
        <f t="shared" si="12"/>
        <v>0.18101846372087491</v>
      </c>
      <c r="AC41">
        <f t="shared" si="13"/>
        <v>0.59045043418225918</v>
      </c>
      <c r="AD41">
        <f t="shared" si="14"/>
        <v>0.24985332953615194</v>
      </c>
      <c r="AE41">
        <f t="shared" si="15"/>
        <v>0.2560413720566756</v>
      </c>
      <c r="AF41">
        <f t="shared" si="16"/>
        <v>0.29497808190412889</v>
      </c>
      <c r="AG41">
        <f t="shared" si="17"/>
        <v>1.7614482408167174E-2</v>
      </c>
      <c r="AJ41">
        <f t="shared" si="18"/>
        <v>0.8432577010156671</v>
      </c>
      <c r="AK41">
        <f t="shared" si="19"/>
        <v>0.18526653359447023</v>
      </c>
      <c r="AL41">
        <f t="shared" si="20"/>
        <v>1.2152830628868236</v>
      </c>
      <c r="AM41">
        <f t="shared" si="21"/>
        <v>0.63708580895599642</v>
      </c>
      <c r="AN41">
        <f t="shared" si="22"/>
        <v>-7.0745687593564532E-2</v>
      </c>
      <c r="AO41">
        <f t="shared" si="23"/>
        <v>-0.39293637244142754</v>
      </c>
      <c r="AP41">
        <f t="shared" si="24"/>
        <v>-0.73069564438665335</v>
      </c>
      <c r="AQ41">
        <f t="shared" si="25"/>
        <v>0.8432577010156449</v>
      </c>
      <c r="AS41">
        <f t="shared" si="26"/>
        <v>2.0376354054372903</v>
      </c>
      <c r="AT41">
        <f t="shared" si="27"/>
        <v>-0.46368206003499207</v>
      </c>
      <c r="AV41">
        <f t="shared" si="29"/>
        <v>3.2379894959312936</v>
      </c>
      <c r="AW41">
        <f t="shared" si="30"/>
        <v>3.8746258300319831</v>
      </c>
      <c r="AX41">
        <f t="shared" si="31"/>
        <v>6.8489768630823304</v>
      </c>
      <c r="AY41">
        <f t="shared" si="32"/>
        <v>3.5704525958108899</v>
      </c>
      <c r="AZ41">
        <f t="shared" si="33"/>
        <v>3.4523943308601543</v>
      </c>
      <c r="BA41">
        <f t="shared" si="34"/>
        <v>8.0831475316823074</v>
      </c>
      <c r="BB41">
        <f t="shared" si="35"/>
        <v>-29.423805719816805</v>
      </c>
    </row>
    <row r="42" spans="1:54" x14ac:dyDescent="0.25">
      <c r="A42" s="1">
        <v>38353</v>
      </c>
      <c r="B42">
        <v>224925</v>
      </c>
      <c r="C42">
        <v>128711</v>
      </c>
      <c r="D42">
        <v>38861</v>
      </c>
      <c r="E42">
        <v>65422</v>
      </c>
      <c r="F42">
        <v>55727</v>
      </c>
      <c r="G42">
        <v>65931</v>
      </c>
      <c r="H42">
        <f>'[1]Sheet 1'!H42</f>
        <v>269076.861354005</v>
      </c>
      <c r="I42">
        <f>'[1]Sheet 1'!I42</f>
        <v>48801.381504316298</v>
      </c>
      <c r="J42">
        <f>'[1]Sheet 1'!J42</f>
        <v>160258.58246202199</v>
      </c>
      <c r="K42">
        <f>'[1]Sheet 1'!K42</f>
        <v>69256.800756242606</v>
      </c>
      <c r="L42">
        <f>'[1]Sheet 1'!L42</f>
        <v>68008.740569312693</v>
      </c>
      <c r="M42">
        <f>'[1]Sheet 1'!M42</f>
        <v>80473.972914892001</v>
      </c>
      <c r="N42">
        <f t="shared" si="0"/>
        <v>3225.3289770034316</v>
      </c>
      <c r="O42">
        <v>10.17</v>
      </c>
      <c r="P42">
        <v>82.22</v>
      </c>
      <c r="R42">
        <f t="shared" si="37"/>
        <v>0.8935073843236272</v>
      </c>
      <c r="S42">
        <f t="shared" si="38"/>
        <v>0.6260522396319721</v>
      </c>
      <c r="T42">
        <f t="shared" si="39"/>
        <v>1.6203066665976766</v>
      </c>
      <c r="U42">
        <f t="shared" si="40"/>
        <v>3.4917474486043378</v>
      </c>
      <c r="V42">
        <f t="shared" si="41"/>
        <v>-0.16799589736333115</v>
      </c>
      <c r="W42">
        <f t="shared" si="42"/>
        <v>0.90399430761430222</v>
      </c>
      <c r="X42">
        <f t="shared" si="9"/>
        <v>-38.005108953009561</v>
      </c>
      <c r="Y42">
        <f t="shared" si="10"/>
        <v>0.63647490820072949</v>
      </c>
      <c r="Z42">
        <f t="shared" si="36"/>
        <v>1.765822262562966</v>
      </c>
      <c r="AA42">
        <f t="shared" si="11"/>
        <v>1</v>
      </c>
      <c r="AB42">
        <f t="shared" si="12"/>
        <v>0.18184800808506099</v>
      </c>
      <c r="AC42">
        <f t="shared" si="13"/>
        <v>0.59132693599282748</v>
      </c>
      <c r="AD42">
        <f t="shared" si="14"/>
        <v>0.25092479178006383</v>
      </c>
      <c r="AE42">
        <f t="shared" si="15"/>
        <v>0.2554358262724441</v>
      </c>
      <c r="AF42">
        <f t="shared" si="16"/>
        <v>0.29904321342600731</v>
      </c>
      <c r="AG42">
        <f t="shared" si="17"/>
        <v>1.9507651295610891E-2</v>
      </c>
      <c r="AJ42">
        <f t="shared" si="18"/>
        <v>0.7097732946995805</v>
      </c>
      <c r="AK42">
        <f t="shared" si="19"/>
        <v>0.21202529625169733</v>
      </c>
      <c r="AL42">
        <f t="shared" si="20"/>
        <v>0.50735824866106805</v>
      </c>
      <c r="AM42">
        <f t="shared" si="21"/>
        <v>0.28524594057472835</v>
      </c>
      <c r="AN42">
        <f t="shared" si="22"/>
        <v>0.12074694957455423</v>
      </c>
      <c r="AO42">
        <f t="shared" si="23"/>
        <v>-0.61876603903876992</v>
      </c>
      <c r="AP42">
        <f t="shared" si="24"/>
        <v>0.20316289867630796</v>
      </c>
      <c r="AQ42">
        <f t="shared" si="25"/>
        <v>0.70977329469958594</v>
      </c>
      <c r="AS42">
        <f t="shared" si="26"/>
        <v>1.0046294854874938</v>
      </c>
      <c r="AT42">
        <f t="shared" si="27"/>
        <v>-0.49801908946421569</v>
      </c>
      <c r="AV42">
        <f t="shared" si="29"/>
        <v>3.5545420174090876</v>
      </c>
      <c r="AW42">
        <f t="shared" si="30"/>
        <v>3.3811538776136656</v>
      </c>
      <c r="AX42">
        <f t="shared" si="31"/>
        <v>6.0621661974351015</v>
      </c>
      <c r="AY42">
        <f t="shared" si="32"/>
        <v>8.7720481322916797</v>
      </c>
      <c r="AZ42">
        <f t="shared" si="33"/>
        <v>1.3932079189630477</v>
      </c>
      <c r="BA42">
        <f t="shared" si="34"/>
        <v>6.0516424639760489</v>
      </c>
      <c r="BB42">
        <f t="shared" si="35"/>
        <v>-51.664538412045978</v>
      </c>
    </row>
    <row r="43" spans="1:54" x14ac:dyDescent="0.25">
      <c r="A43" s="1">
        <v>38443</v>
      </c>
      <c r="B43">
        <v>229616</v>
      </c>
      <c r="C43">
        <v>131548</v>
      </c>
      <c r="D43">
        <v>39664</v>
      </c>
      <c r="E43">
        <v>67317</v>
      </c>
      <c r="F43">
        <v>57444</v>
      </c>
      <c r="G43">
        <v>68530</v>
      </c>
      <c r="H43">
        <f>'[1]Sheet 1'!H43</f>
        <v>271465.155104751</v>
      </c>
      <c r="I43">
        <f>'[1]Sheet 1'!I43</f>
        <v>49691.432694495597</v>
      </c>
      <c r="J43">
        <f>'[1]Sheet 1'!J43</f>
        <v>161592.10877828201</v>
      </c>
      <c r="K43">
        <f>'[1]Sheet 1'!K43</f>
        <v>71054.707326835705</v>
      </c>
      <c r="L43">
        <f>'[1]Sheet 1'!L43</f>
        <v>69078.578302559807</v>
      </c>
      <c r="M43">
        <f>'[1]Sheet 1'!M43</f>
        <v>83782.289663944393</v>
      </c>
      <c r="N43">
        <f t="shared" si="0"/>
        <v>3830.6176665222738</v>
      </c>
      <c r="O43">
        <v>9.32</v>
      </c>
      <c r="P43">
        <v>83.37</v>
      </c>
      <c r="R43">
        <f t="shared" si="37"/>
        <v>0.88758793258105362</v>
      </c>
      <c r="S43">
        <f t="shared" si="38"/>
        <v>1.8238237581462282</v>
      </c>
      <c r="T43">
        <f t="shared" si="39"/>
        <v>0.83210914247044165</v>
      </c>
      <c r="U43">
        <f t="shared" si="40"/>
        <v>2.5960000331534818</v>
      </c>
      <c r="V43">
        <f t="shared" si="41"/>
        <v>1.5730885828664383</v>
      </c>
      <c r="W43">
        <f t="shared" si="42"/>
        <v>4.1110394196036717</v>
      </c>
      <c r="X43">
        <f t="shared" si="9"/>
        <v>18.766727172159658</v>
      </c>
      <c r="Y43">
        <f t="shared" si="10"/>
        <v>1.3986864509851686</v>
      </c>
      <c r="Z43">
        <f t="shared" si="36"/>
        <v>2.663984894507796</v>
      </c>
      <c r="AA43">
        <f t="shared" si="11"/>
        <v>1</v>
      </c>
      <c r="AB43">
        <f t="shared" si="12"/>
        <v>0.18136595342589434</v>
      </c>
      <c r="AC43">
        <f t="shared" si="13"/>
        <v>0.59558663519261634</v>
      </c>
      <c r="AD43">
        <f t="shared" si="14"/>
        <v>0.25738668277807225</v>
      </c>
      <c r="AE43">
        <f t="shared" si="15"/>
        <v>0.25274837913260217</v>
      </c>
      <c r="AF43">
        <f t="shared" si="16"/>
        <v>0.29907429613213082</v>
      </c>
      <c r="AG43">
        <f t="shared" si="17"/>
        <v>1.1986645602945767E-2</v>
      </c>
      <c r="AJ43">
        <f t="shared" si="18"/>
        <v>0.8935073843236272</v>
      </c>
      <c r="AK43">
        <f t="shared" si="19"/>
        <v>0.1138463527342654</v>
      </c>
      <c r="AL43">
        <f t="shared" si="20"/>
        <v>0.95813097652795598</v>
      </c>
      <c r="AM43">
        <f t="shared" si="21"/>
        <v>0.87616600148961254</v>
      </c>
      <c r="AN43">
        <f t="shared" si="22"/>
        <v>-4.2912170853383204E-2</v>
      </c>
      <c r="AO43">
        <f t="shared" si="23"/>
        <v>-0.2703333626677995</v>
      </c>
      <c r="AP43">
        <f t="shared" si="24"/>
        <v>-0.74139041290701002</v>
      </c>
      <c r="AQ43">
        <f t="shared" si="25"/>
        <v>0.89350738432364107</v>
      </c>
      <c r="AS43">
        <f t="shared" si="26"/>
        <v>1.9481433307518339</v>
      </c>
      <c r="AT43">
        <f t="shared" si="27"/>
        <v>-0.31324553352118273</v>
      </c>
      <c r="AV43">
        <f t="shared" si="29"/>
        <v>3.3759333994121441</v>
      </c>
      <c r="AW43">
        <f t="shared" si="30"/>
        <v>4.7242703609246162</v>
      </c>
      <c r="AX43">
        <f t="shared" si="31"/>
        <v>5.4996284396069406</v>
      </c>
      <c r="AY43">
        <f t="shared" si="32"/>
        <v>10.17641224634716</v>
      </c>
      <c r="AZ43">
        <f t="shared" si="33"/>
        <v>1.6022700090745214</v>
      </c>
      <c r="BA43">
        <f t="shared" si="34"/>
        <v>8.6916026647430229</v>
      </c>
      <c r="BB43">
        <f t="shared" si="35"/>
        <v>-41.813763233932825</v>
      </c>
    </row>
    <row r="44" spans="1:54" x14ac:dyDescent="0.25">
      <c r="A44" s="1">
        <v>38534</v>
      </c>
      <c r="B44">
        <v>234127</v>
      </c>
      <c r="C44">
        <v>134081</v>
      </c>
      <c r="D44">
        <v>40296</v>
      </c>
      <c r="E44">
        <v>69604</v>
      </c>
      <c r="F44">
        <v>58702</v>
      </c>
      <c r="G44">
        <v>70757</v>
      </c>
      <c r="H44">
        <f>'[1]Sheet 1'!H44</f>
        <v>274064.33011221199</v>
      </c>
      <c r="I44">
        <f>'[1]Sheet 1'!I44</f>
        <v>49950.320719233998</v>
      </c>
      <c r="J44">
        <f>'[1]Sheet 1'!J44</f>
        <v>162075.85496884401</v>
      </c>
      <c r="K44">
        <f>'[1]Sheet 1'!K44</f>
        <v>72133.956411997395</v>
      </c>
      <c r="L44">
        <f>'[1]Sheet 1'!L44</f>
        <v>69125.732736551494</v>
      </c>
      <c r="M44">
        <f>'[1]Sheet 1'!M44</f>
        <v>83899.1384400979</v>
      </c>
      <c r="N44">
        <f t="shared" si="0"/>
        <v>4677.6037156829989</v>
      </c>
      <c r="O44">
        <v>8.41</v>
      </c>
      <c r="P44">
        <v>84.063333333333304</v>
      </c>
      <c r="R44">
        <f t="shared" si="37"/>
        <v>0.95746174364737069</v>
      </c>
      <c r="S44">
        <f t="shared" si="38"/>
        <v>0.52099126690520614</v>
      </c>
      <c r="T44">
        <f t="shared" si="39"/>
        <v>0.29936250861466313</v>
      </c>
      <c r="U44">
        <f t="shared" si="40"/>
        <v>1.5188987834365228</v>
      </c>
      <c r="V44">
        <f t="shared" si="41"/>
        <v>6.8262021527359482E-2</v>
      </c>
      <c r="W44">
        <f t="shared" si="42"/>
        <v>0.13946715543606442</v>
      </c>
      <c r="X44">
        <f t="shared" si="9"/>
        <v>22.110952407570434</v>
      </c>
      <c r="Y44">
        <f t="shared" si="10"/>
        <v>0.83163408100431746</v>
      </c>
      <c r="Z44">
        <f t="shared" si="36"/>
        <v>2.8926968584250932</v>
      </c>
      <c r="AA44">
        <f t="shared" si="11"/>
        <v>1</v>
      </c>
      <c r="AB44">
        <f t="shared" si="12"/>
        <v>0.18304902769315284</v>
      </c>
      <c r="AC44">
        <f t="shared" si="13"/>
        <v>0.59525911793698905</v>
      </c>
      <c r="AD44">
        <f t="shared" si="14"/>
        <v>0.26174522214247953</v>
      </c>
      <c r="AE44">
        <f t="shared" si="15"/>
        <v>0.25446572793441674</v>
      </c>
      <c r="AF44">
        <f t="shared" si="16"/>
        <v>0.30862999574149802</v>
      </c>
      <c r="AG44">
        <f t="shared" si="17"/>
        <v>1.411090003445983E-2</v>
      </c>
      <c r="AJ44">
        <f t="shared" si="18"/>
        <v>0.88758793258105362</v>
      </c>
      <c r="AK44">
        <f t="shared" si="19"/>
        <v>0.3307795347769884</v>
      </c>
      <c r="AL44">
        <f t="shared" si="20"/>
        <v>0.49559308427698373</v>
      </c>
      <c r="AM44">
        <f t="shared" si="21"/>
        <v>0.66817583702514027</v>
      </c>
      <c r="AN44">
        <f t="shared" si="22"/>
        <v>0.39759558955149443</v>
      </c>
      <c r="AO44">
        <f t="shared" si="23"/>
        <v>-1.2295062207894116</v>
      </c>
      <c r="AP44">
        <f t="shared" si="24"/>
        <v>0.22495010773985041</v>
      </c>
      <c r="AQ44">
        <f t="shared" si="25"/>
        <v>0.88758793258104562</v>
      </c>
      <c r="AS44">
        <f t="shared" si="26"/>
        <v>1.4945484560791125</v>
      </c>
      <c r="AT44">
        <f t="shared" si="27"/>
        <v>-0.8319106312379172</v>
      </c>
      <c r="AV44">
        <f t="shared" si="29"/>
        <v>3.4930056734955675</v>
      </c>
      <c r="AW44">
        <f t="shared" si="30"/>
        <v>4.201480911021612</v>
      </c>
      <c r="AX44">
        <f t="shared" si="31"/>
        <v>3.6557408171145935</v>
      </c>
      <c r="AY44">
        <f t="shared" si="32"/>
        <v>9.021736895497467</v>
      </c>
      <c r="AZ44">
        <f t="shared" si="33"/>
        <v>1.9502011497898799</v>
      </c>
      <c r="BA44">
        <f t="shared" si="34"/>
        <v>7.4054301323459821</v>
      </c>
      <c r="BB44">
        <f t="shared" si="35"/>
        <v>0.27946874561733603</v>
      </c>
    </row>
    <row r="45" spans="1:54" x14ac:dyDescent="0.25">
      <c r="A45" s="1">
        <v>38626</v>
      </c>
      <c r="B45">
        <v>239454</v>
      </c>
      <c r="C45">
        <v>136810</v>
      </c>
      <c r="D45">
        <v>41225</v>
      </c>
      <c r="E45">
        <v>70563</v>
      </c>
      <c r="F45">
        <v>59606</v>
      </c>
      <c r="G45">
        <v>70978</v>
      </c>
      <c r="H45">
        <f>'[1]Sheet 1'!H45</f>
        <v>276770.21611704701</v>
      </c>
      <c r="I45">
        <f>'[1]Sheet 1'!I45</f>
        <v>50456.889902597999</v>
      </c>
      <c r="J45">
        <f>'[1]Sheet 1'!J45</f>
        <v>164023.73689994801</v>
      </c>
      <c r="K45">
        <f>'[1]Sheet 1'!K45</f>
        <v>72049.982160788204</v>
      </c>
      <c r="L45">
        <f>'[1]Sheet 1'!L45</f>
        <v>69756.208170598198</v>
      </c>
      <c r="M45">
        <f>'[1]Sheet 1'!M45</f>
        <v>84311.584365163304</v>
      </c>
      <c r="N45">
        <f t="shared" si="0"/>
        <v>4794.9833482778922</v>
      </c>
      <c r="O45">
        <v>8.7100000000000009</v>
      </c>
      <c r="P45">
        <v>84.796666666666695</v>
      </c>
      <c r="R45">
        <f t="shared" si="37"/>
        <v>0.98731783290701458</v>
      </c>
      <c r="S45">
        <f t="shared" si="38"/>
        <v>1.0141460076130011</v>
      </c>
      <c r="T45">
        <f t="shared" si="39"/>
        <v>1.2018335065876664</v>
      </c>
      <c r="U45">
        <f t="shared" si="40"/>
        <v>-0.11641431495808541</v>
      </c>
      <c r="V45">
        <f t="shared" si="41"/>
        <v>0.91207052581929282</v>
      </c>
      <c r="W45">
        <f t="shared" si="42"/>
        <v>0.49159733071619172</v>
      </c>
      <c r="X45">
        <f t="shared" si="9"/>
        <v>2.5093966853443503</v>
      </c>
      <c r="Y45">
        <f t="shared" si="10"/>
        <v>0.872358142670278</v>
      </c>
      <c r="Z45">
        <f t="shared" si="36"/>
        <v>3.1338684829320078</v>
      </c>
      <c r="AA45">
        <f t="shared" si="11"/>
        <v>1</v>
      </c>
      <c r="AB45">
        <f t="shared" si="12"/>
        <v>0.18225764986922049</v>
      </c>
      <c r="AC45">
        <f t="shared" si="13"/>
        <v>0.59137887408581846</v>
      </c>
      <c r="AD45">
        <f t="shared" si="14"/>
        <v>0.26320081997705835</v>
      </c>
      <c r="AE45">
        <f t="shared" si="15"/>
        <v>0.25222447849469826</v>
      </c>
      <c r="AF45">
        <f t="shared" si="16"/>
        <v>0.30612936169309779</v>
      </c>
      <c r="AG45">
        <f t="shared" si="17"/>
        <v>1.7067539266302244E-2</v>
      </c>
      <c r="AJ45">
        <f t="shared" si="18"/>
        <v>0.95746174364737069</v>
      </c>
      <c r="AK45">
        <f t="shared" si="19"/>
        <v>9.5366944843621862E-2</v>
      </c>
      <c r="AL45">
        <f t="shared" si="20"/>
        <v>0.17819826282136866</v>
      </c>
      <c r="AM45">
        <f t="shared" si="21"/>
        <v>0.39756449948253458</v>
      </c>
      <c r="AN45">
        <f t="shared" si="22"/>
        <v>1.7370344998234356E-2</v>
      </c>
      <c r="AO45">
        <f t="shared" si="23"/>
        <v>-4.30437475883114E-2</v>
      </c>
      <c r="AP45">
        <f t="shared" si="24"/>
        <v>0.31200543908992528</v>
      </c>
      <c r="AQ45">
        <f t="shared" si="25"/>
        <v>0.95746174364737324</v>
      </c>
      <c r="AS45">
        <f t="shared" si="26"/>
        <v>0.67112970714752507</v>
      </c>
      <c r="AT45">
        <f t="shared" si="27"/>
        <v>-2.5673402590077044E-2</v>
      </c>
      <c r="AV45">
        <f t="shared" si="29"/>
        <v>3.7782204796425045</v>
      </c>
      <c r="AW45">
        <f t="shared" si="30"/>
        <v>4.0396292621166721</v>
      </c>
      <c r="AX45">
        <f t="shared" si="31"/>
        <v>4.0077990726272574</v>
      </c>
      <c r="AY45">
        <f t="shared" si="32"/>
        <v>7.6656512579181806</v>
      </c>
      <c r="AZ45">
        <f t="shared" si="33"/>
        <v>2.3971625113997481</v>
      </c>
      <c r="BA45">
        <f t="shared" si="34"/>
        <v>5.7158646540993656</v>
      </c>
      <c r="BB45">
        <f t="shared" si="35"/>
        <v>-7.8343721313036667</v>
      </c>
    </row>
    <row r="46" spans="1:54" x14ac:dyDescent="0.25">
      <c r="A46" s="1">
        <v>38718</v>
      </c>
      <c r="B46">
        <v>243950</v>
      </c>
      <c r="C46">
        <v>139290</v>
      </c>
      <c r="D46">
        <v>42014</v>
      </c>
      <c r="E46">
        <v>74487</v>
      </c>
      <c r="F46">
        <v>61289</v>
      </c>
      <c r="G46">
        <v>75362</v>
      </c>
      <c r="H46">
        <f>'[1]Sheet 1'!H46</f>
        <v>279989.331204488</v>
      </c>
      <c r="I46">
        <f>'[1]Sheet 1'!I46</f>
        <v>50954.559515813802</v>
      </c>
      <c r="J46">
        <f>'[1]Sheet 1'!J46</f>
        <v>165402.50566568499</v>
      </c>
      <c r="K46">
        <f>'[1]Sheet 1'!K46</f>
        <v>73851.453432317896</v>
      </c>
      <c r="L46">
        <f>'[1]Sheet 1'!L46</f>
        <v>70524.618928894401</v>
      </c>
      <c r="M46">
        <f>'[1]Sheet 1'!M46</f>
        <v>87075.806113148006</v>
      </c>
      <c r="N46">
        <f t="shared" si="0"/>
        <v>6331.9997749249305</v>
      </c>
      <c r="O46">
        <v>9.0299999999999994</v>
      </c>
      <c r="P46">
        <v>85.47</v>
      </c>
      <c r="R46">
        <f t="shared" si="37"/>
        <v>1.1631002542844495</v>
      </c>
      <c r="S46">
        <f t="shared" si="38"/>
        <v>0.98632637520169142</v>
      </c>
      <c r="T46">
        <f t="shared" si="39"/>
        <v>0.84059099725182496</v>
      </c>
      <c r="U46">
        <f t="shared" si="40"/>
        <v>2.5003077273627801</v>
      </c>
      <c r="V46">
        <f t="shared" si="41"/>
        <v>1.1015661235727585</v>
      </c>
      <c r="W46">
        <f t="shared" si="42"/>
        <v>3.2785788202158974</v>
      </c>
      <c r="X46">
        <f t="shared" si="9"/>
        <v>32.054677044896401</v>
      </c>
      <c r="Y46">
        <f t="shared" si="10"/>
        <v>0.79405637014030028</v>
      </c>
      <c r="Z46">
        <f t="shared" si="36"/>
        <v>2.5188916876574239</v>
      </c>
      <c r="AA46">
        <f t="shared" si="11"/>
        <v>1</v>
      </c>
      <c r="AB46">
        <f t="shared" si="12"/>
        <v>0.18230606822686304</v>
      </c>
      <c r="AC46">
        <f t="shared" si="13"/>
        <v>0.59263507179754427</v>
      </c>
      <c r="AD46">
        <f t="shared" si="14"/>
        <v>0.26032418940019919</v>
      </c>
      <c r="AE46">
        <f t="shared" si="15"/>
        <v>0.25203654189834529</v>
      </c>
      <c r="AF46">
        <f t="shared" si="16"/>
        <v>0.30462665220273438</v>
      </c>
      <c r="AG46">
        <f t="shared" si="17"/>
        <v>1.7324780879782523E-2</v>
      </c>
      <c r="AJ46">
        <f t="shared" si="18"/>
        <v>0.98731783290701458</v>
      </c>
      <c r="AK46">
        <f t="shared" si="19"/>
        <v>0.18483586797179818</v>
      </c>
      <c r="AL46">
        <f t="shared" si="20"/>
        <v>0.71073894596442522</v>
      </c>
      <c r="AM46">
        <f t="shared" si="21"/>
        <v>-3.0640343154035608E-2</v>
      </c>
      <c r="AN46">
        <f t="shared" si="22"/>
        <v>0.23004651272515636</v>
      </c>
      <c r="AO46">
        <f t="shared" si="23"/>
        <v>-0.15049237706217847</v>
      </c>
      <c r="AP46">
        <f t="shared" si="24"/>
        <v>4.2829226461843395E-2</v>
      </c>
      <c r="AQ46">
        <f t="shared" si="25"/>
        <v>0.98731783290700903</v>
      </c>
      <c r="AS46">
        <f t="shared" si="26"/>
        <v>0.86493447078218777</v>
      </c>
      <c r="AT46">
        <f t="shared" si="27"/>
        <v>7.9554135662977893E-2</v>
      </c>
      <c r="AV46">
        <f t="shared" si="29"/>
        <v>4.0555214579102188</v>
      </c>
      <c r="AW46">
        <f t="shared" si="30"/>
        <v>4.4121251184396577</v>
      </c>
      <c r="AX46">
        <f t="shared" si="31"/>
        <v>3.2097645721295476</v>
      </c>
      <c r="AY46">
        <f t="shared" si="32"/>
        <v>6.6342259906672645</v>
      </c>
      <c r="AZ46">
        <f t="shared" si="33"/>
        <v>3.6993456113447531</v>
      </c>
      <c r="BA46">
        <f t="shared" si="34"/>
        <v>8.20368742728534</v>
      </c>
      <c r="BB46">
        <f t="shared" si="35"/>
        <v>96.321051901124989</v>
      </c>
    </row>
    <row r="47" spans="1:54" x14ac:dyDescent="0.25">
      <c r="A47" s="1">
        <v>38808</v>
      </c>
      <c r="B47">
        <v>249219</v>
      </c>
      <c r="C47">
        <v>142389</v>
      </c>
      <c r="D47">
        <v>42848</v>
      </c>
      <c r="E47">
        <v>76164</v>
      </c>
      <c r="F47">
        <v>62956</v>
      </c>
      <c r="G47">
        <v>77412</v>
      </c>
      <c r="H47">
        <f>'[1]Sheet 1'!H47</f>
        <v>282509.46102871001</v>
      </c>
      <c r="I47">
        <f>'[1]Sheet 1'!I47</f>
        <v>51481.470573802602</v>
      </c>
      <c r="J47">
        <f>'[1]Sheet 1'!J47</f>
        <v>167143.41874420401</v>
      </c>
      <c r="K47">
        <f>'[1]Sheet 1'!K47</f>
        <v>75095.826812392494</v>
      </c>
      <c r="L47">
        <f>'[1]Sheet 1'!L47</f>
        <v>72083.9850836361</v>
      </c>
      <c r="M47">
        <f>'[1]Sheet 1'!M47</f>
        <v>89427.909014517107</v>
      </c>
      <c r="N47">
        <f t="shared" si="0"/>
        <v>6132.6688291918981</v>
      </c>
      <c r="O47">
        <v>8.44</v>
      </c>
      <c r="P47">
        <v>86.73</v>
      </c>
      <c r="R47">
        <f t="shared" si="37"/>
        <v>0.90008066142400633</v>
      </c>
      <c r="S47">
        <f t="shared" si="38"/>
        <v>1.0340802923147099</v>
      </c>
      <c r="T47">
        <f t="shared" si="39"/>
        <v>1.0525312609458233</v>
      </c>
      <c r="U47">
        <f t="shared" si="40"/>
        <v>1.684968030067302</v>
      </c>
      <c r="V47">
        <f t="shared" si="41"/>
        <v>2.2110947615525749</v>
      </c>
      <c r="W47">
        <f t="shared" si="42"/>
        <v>2.7012128929506916</v>
      </c>
      <c r="X47">
        <f t="shared" si="9"/>
        <v>-3.1479935694627468</v>
      </c>
      <c r="Y47">
        <f t="shared" si="10"/>
        <v>1.4742014742014802</v>
      </c>
      <c r="Z47">
        <f t="shared" si="36"/>
        <v>3.1722114278917095</v>
      </c>
      <c r="AA47">
        <f t="shared" si="11"/>
        <v>1</v>
      </c>
      <c r="AB47">
        <f t="shared" si="12"/>
        <v>0.18198750394028243</v>
      </c>
      <c r="AC47">
        <f t="shared" si="13"/>
        <v>0.59074574361151133</v>
      </c>
      <c r="AD47">
        <f t="shared" si="14"/>
        <v>0.26376524103477739</v>
      </c>
      <c r="AE47">
        <f t="shared" si="15"/>
        <v>0.25188323649870537</v>
      </c>
      <c r="AF47">
        <f t="shared" si="16"/>
        <v>0.31099687169706075</v>
      </c>
      <c r="AG47">
        <f t="shared" si="17"/>
        <v>2.2615146611784306E-2</v>
      </c>
      <c r="AJ47">
        <f t="shared" si="18"/>
        <v>1.1631002542844495</v>
      </c>
      <c r="AK47">
        <f t="shared" si="19"/>
        <v>0.17981328345147407</v>
      </c>
      <c r="AL47">
        <f t="shared" si="20"/>
        <v>0.49816370600870463</v>
      </c>
      <c r="AM47">
        <f t="shared" si="21"/>
        <v>0.65089058237677</v>
      </c>
      <c r="AN47">
        <f t="shared" si="22"/>
        <v>0.27763491645764338</v>
      </c>
      <c r="AO47">
        <f t="shared" si="23"/>
        <v>-0.99874248998515935</v>
      </c>
      <c r="AP47">
        <f t="shared" si="24"/>
        <v>0.5553402559750249</v>
      </c>
      <c r="AQ47">
        <f t="shared" si="25"/>
        <v>1.1631002542844577</v>
      </c>
      <c r="AS47">
        <f t="shared" si="26"/>
        <v>1.3288675718369487</v>
      </c>
      <c r="AT47">
        <f t="shared" si="27"/>
        <v>-0.72110757352751598</v>
      </c>
      <c r="AV47">
        <f t="shared" si="29"/>
        <v>4.0684064662727382</v>
      </c>
      <c r="AW47">
        <f t="shared" si="30"/>
        <v>3.6023068409240904</v>
      </c>
      <c r="AX47">
        <f t="shared" si="31"/>
        <v>3.4353843191308728</v>
      </c>
      <c r="AY47">
        <f t="shared" si="32"/>
        <v>5.6873353470707375</v>
      </c>
      <c r="AZ47">
        <f t="shared" si="33"/>
        <v>4.3507073465131292</v>
      </c>
      <c r="BA47">
        <f t="shared" si="34"/>
        <v>6.7384400369309772</v>
      </c>
      <c r="BB47">
        <f t="shared" si="35"/>
        <v>60.096082748963084</v>
      </c>
    </row>
    <row r="48" spans="1:54" x14ac:dyDescent="0.25">
      <c r="A48" s="1">
        <v>38899</v>
      </c>
      <c r="B48">
        <v>253709</v>
      </c>
      <c r="C48">
        <v>144331</v>
      </c>
      <c r="D48">
        <v>43834</v>
      </c>
      <c r="E48">
        <v>77549</v>
      </c>
      <c r="F48">
        <v>63236</v>
      </c>
      <c r="G48">
        <v>77555</v>
      </c>
      <c r="H48">
        <f>'[1]Sheet 1'!H48</f>
        <v>285176.38905037602</v>
      </c>
      <c r="I48">
        <f>'[1]Sheet 1'!I48</f>
        <v>51988.510633894199</v>
      </c>
      <c r="J48">
        <f>'[1]Sheet 1'!J48</f>
        <v>169349.85820331401</v>
      </c>
      <c r="K48">
        <f>'[1]Sheet 1'!K48</f>
        <v>75487.857811526206</v>
      </c>
      <c r="L48">
        <f>'[1]Sheet 1'!L48</f>
        <v>71754.936624540394</v>
      </c>
      <c r="M48">
        <f>'[1]Sheet 1'!M48</f>
        <v>89703.554377997498</v>
      </c>
      <c r="N48">
        <f t="shared" si="0"/>
        <v>6298.7801550987497</v>
      </c>
      <c r="O48">
        <v>8.08</v>
      </c>
      <c r="P48">
        <v>86.656666666666695</v>
      </c>
      <c r="R48">
        <f t="shared" si="37"/>
        <v>0.94401370203845514</v>
      </c>
      <c r="S48">
        <f t="shared" si="38"/>
        <v>0.98489816712736644</v>
      </c>
      <c r="T48">
        <f t="shared" si="39"/>
        <v>1.3200875485781047</v>
      </c>
      <c r="U48">
        <f t="shared" si="40"/>
        <v>0.52204099185578001</v>
      </c>
      <c r="V48">
        <f t="shared" si="41"/>
        <v>-0.45647928414879435</v>
      </c>
      <c r="W48">
        <f t="shared" si="42"/>
        <v>0.30823192280571465</v>
      </c>
      <c r="X48">
        <f t="shared" si="9"/>
        <v>2.7086302967502656</v>
      </c>
      <c r="Y48">
        <f t="shared" si="10"/>
        <v>-8.4553595449451485E-2</v>
      </c>
      <c r="Z48">
        <f t="shared" si="36"/>
        <v>2.1934824482094406</v>
      </c>
      <c r="AA48">
        <f t="shared" si="11"/>
        <v>1</v>
      </c>
      <c r="AB48">
        <f t="shared" si="12"/>
        <v>0.1822291911440474</v>
      </c>
      <c r="AC48">
        <f t="shared" si="13"/>
        <v>0.59163830526446715</v>
      </c>
      <c r="AD48">
        <f t="shared" si="14"/>
        <v>0.26581703330905754</v>
      </c>
      <c r="AE48">
        <f t="shared" si="15"/>
        <v>0.25515600370038782</v>
      </c>
      <c r="AF48">
        <f t="shared" si="16"/>
        <v>0.3165483686418169</v>
      </c>
      <c r="AG48">
        <f t="shared" si="17"/>
        <v>2.1707835223857039E-2</v>
      </c>
      <c r="AJ48">
        <f t="shared" si="18"/>
        <v>0.90008066142400633</v>
      </c>
      <c r="AK48">
        <f t="shared" si="19"/>
        <v>0.18818969127219168</v>
      </c>
      <c r="AL48">
        <f t="shared" si="20"/>
        <v>0.62177836242180207</v>
      </c>
      <c r="AM48">
        <f t="shared" si="21"/>
        <v>0.44443599858659594</v>
      </c>
      <c r="AN48">
        <f t="shared" si="22"/>
        <v>0.55693770474519577</v>
      </c>
      <c r="AO48">
        <f t="shared" si="23"/>
        <v>-0.84006875949543247</v>
      </c>
      <c r="AP48">
        <f t="shared" si="24"/>
        <v>-7.1192336106354226E-2</v>
      </c>
      <c r="AQ48">
        <f t="shared" si="25"/>
        <v>0.90008066142399878</v>
      </c>
      <c r="AS48">
        <f t="shared" si="26"/>
        <v>1.2544040522805897</v>
      </c>
      <c r="AT48">
        <f t="shared" si="27"/>
        <v>-0.2831310547502367</v>
      </c>
      <c r="AV48">
        <f t="shared" si="29"/>
        <v>4.0545440311821483</v>
      </c>
      <c r="AW48">
        <f t="shared" si="30"/>
        <v>4.0804340899364249</v>
      </c>
      <c r="AX48">
        <f t="shared" si="31"/>
        <v>4.4880239785674982</v>
      </c>
      <c r="AY48">
        <f t="shared" si="32"/>
        <v>4.6495458815163326</v>
      </c>
      <c r="AZ48">
        <f t="shared" si="33"/>
        <v>3.8035096105370627</v>
      </c>
      <c r="BA48">
        <f t="shared" si="34"/>
        <v>6.9183260350686666</v>
      </c>
      <c r="BB48">
        <f t="shared" si="35"/>
        <v>34.658268163681647</v>
      </c>
    </row>
    <row r="49" spans="1:54" x14ac:dyDescent="0.25">
      <c r="A49" s="1">
        <v>38991</v>
      </c>
      <c r="B49">
        <v>258098</v>
      </c>
      <c r="C49">
        <v>146301</v>
      </c>
      <c r="D49">
        <v>44859</v>
      </c>
      <c r="E49">
        <v>79165</v>
      </c>
      <c r="F49">
        <v>65607</v>
      </c>
      <c r="G49">
        <v>80213</v>
      </c>
      <c r="H49">
        <f>'[1]Sheet 1'!H49</f>
        <v>287830.33107765298</v>
      </c>
      <c r="I49">
        <f>'[1]Sheet 1'!I49</f>
        <v>52480.529726380802</v>
      </c>
      <c r="J49">
        <f>'[1]Sheet 1'!J49</f>
        <v>172398.29854341599</v>
      </c>
      <c r="K49">
        <f>'[1]Sheet 1'!K49</f>
        <v>76703.684882812595</v>
      </c>
      <c r="L49">
        <f>'[1]Sheet 1'!L49</f>
        <v>74526.808489825504</v>
      </c>
      <c r="M49">
        <f>'[1]Sheet 1'!M49</f>
        <v>93566.350868895301</v>
      </c>
      <c r="N49">
        <f t="shared" si="0"/>
        <v>5287.3603041133611</v>
      </c>
      <c r="O49">
        <v>8.26</v>
      </c>
      <c r="P49">
        <v>87.006666666666703</v>
      </c>
      <c r="R49">
        <f t="shared" si="37"/>
        <v>0.93063175254952424</v>
      </c>
      <c r="S49">
        <f t="shared" si="38"/>
        <v>0.94639966886419935</v>
      </c>
      <c r="T49">
        <f t="shared" si="39"/>
        <v>1.8000843770664143</v>
      </c>
      <c r="U49">
        <f t="shared" si="40"/>
        <v>1.6106260086516122</v>
      </c>
      <c r="V49">
        <f t="shared" si="41"/>
        <v>3.8629702647345403</v>
      </c>
      <c r="W49">
        <f t="shared" si="42"/>
        <v>4.3061799698822973</v>
      </c>
      <c r="X49">
        <f t="shared" si="9"/>
        <v>-16.057392480457704</v>
      </c>
      <c r="Y49">
        <f t="shared" si="10"/>
        <v>0.40389275685657011</v>
      </c>
      <c r="Z49">
        <f t="shared" si="36"/>
        <v>1.7979017979018421</v>
      </c>
      <c r="AA49">
        <f t="shared" si="11"/>
        <v>1</v>
      </c>
      <c r="AB49">
        <f t="shared" si="12"/>
        <v>0.18230299782886478</v>
      </c>
      <c r="AC49">
        <f t="shared" si="13"/>
        <v>0.59384249434969383</v>
      </c>
      <c r="AD49">
        <f t="shared" si="14"/>
        <v>0.26470584771375089</v>
      </c>
      <c r="AE49">
        <f t="shared" si="15"/>
        <v>0.25161598007282776</v>
      </c>
      <c r="AF49">
        <f t="shared" si="16"/>
        <v>0.31455463292983726</v>
      </c>
      <c r="AG49">
        <f t="shared" si="17"/>
        <v>2.2087312964700168E-2</v>
      </c>
      <c r="AJ49">
        <f t="shared" si="18"/>
        <v>0.94401370203845514</v>
      </c>
      <c r="AK49">
        <f t="shared" si="19"/>
        <v>0.1794771963548748</v>
      </c>
      <c r="AL49">
        <f t="shared" si="20"/>
        <v>0.78101436004147484</v>
      </c>
      <c r="AM49">
        <f t="shared" si="21"/>
        <v>0.13876738772082131</v>
      </c>
      <c r="AN49">
        <f t="shared" si="22"/>
        <v>-0.11647342991542016</v>
      </c>
      <c r="AO49">
        <f t="shared" si="23"/>
        <v>-9.7570312327479411E-2</v>
      </c>
      <c r="AP49">
        <f t="shared" si="24"/>
        <v>5.879850016420176E-2</v>
      </c>
      <c r="AQ49">
        <f t="shared" si="25"/>
        <v>0.94401370203847312</v>
      </c>
      <c r="AS49">
        <f t="shared" si="26"/>
        <v>1.099258944117171</v>
      </c>
      <c r="AT49">
        <f t="shared" si="27"/>
        <v>-0.21404374224289957</v>
      </c>
      <c r="AV49">
        <f t="shared" si="29"/>
        <v>3.9961362590867147</v>
      </c>
      <c r="AW49">
        <f t="shared" si="30"/>
        <v>4.0106313086066905</v>
      </c>
      <c r="AX49">
        <f t="shared" si="31"/>
        <v>5.1057010416585857</v>
      </c>
      <c r="AY49">
        <f t="shared" si="32"/>
        <v>6.4589921918913076</v>
      </c>
      <c r="AZ49">
        <f t="shared" si="33"/>
        <v>6.8389616413210996</v>
      </c>
      <c r="BA49">
        <f t="shared" si="34"/>
        <v>10.976862282232206</v>
      </c>
      <c r="BB49">
        <f t="shared" si="35"/>
        <v>10.268585312445452</v>
      </c>
    </row>
    <row r="50" spans="1:54" x14ac:dyDescent="0.25">
      <c r="A50" s="1">
        <v>39083</v>
      </c>
      <c r="B50">
        <v>264171</v>
      </c>
      <c r="C50">
        <v>149108</v>
      </c>
      <c r="D50">
        <v>45724</v>
      </c>
      <c r="E50">
        <v>80788</v>
      </c>
      <c r="F50">
        <v>68444</v>
      </c>
      <c r="G50">
        <v>82381</v>
      </c>
      <c r="H50">
        <f>'[1]Sheet 1'!H50</f>
        <v>290446.72664289101</v>
      </c>
      <c r="I50">
        <f>'[1]Sheet 1'!I50</f>
        <v>52861.892787922501</v>
      </c>
      <c r="J50">
        <f>'[1]Sheet 1'!J50</f>
        <v>173497.014499721</v>
      </c>
      <c r="K50">
        <f>'[1]Sheet 1'!K50</f>
        <v>79661.502660242797</v>
      </c>
      <c r="L50">
        <f>'[1]Sheet 1'!L50</f>
        <v>76648.069633556603</v>
      </c>
      <c r="M50">
        <f>'[1]Sheet 1'!M50</f>
        <v>96055.254331849297</v>
      </c>
      <c r="N50">
        <f t="shared" si="0"/>
        <v>3833.501393297367</v>
      </c>
      <c r="O50">
        <v>8.42</v>
      </c>
      <c r="P50">
        <v>87.59</v>
      </c>
      <c r="R50">
        <f t="shared" si="37"/>
        <v>0.90900620356516704</v>
      </c>
      <c r="S50">
        <f t="shared" si="38"/>
        <v>0.72667532803121826</v>
      </c>
      <c r="T50">
        <f t="shared" si="39"/>
        <v>0.63731252894489132</v>
      </c>
      <c r="U50">
        <f t="shared" si="40"/>
        <v>3.8561612547677955</v>
      </c>
      <c r="V50">
        <f t="shared" si="41"/>
        <v>2.8463061638023803</v>
      </c>
      <c r="W50">
        <f t="shared" si="42"/>
        <v>2.6600411791643297</v>
      </c>
      <c r="X50">
        <f t="shared" si="9"/>
        <v>-27.496876081717907</v>
      </c>
      <c r="Y50">
        <f t="shared" si="10"/>
        <v>0.67044670906440107</v>
      </c>
      <c r="Z50">
        <f t="shared" si="36"/>
        <v>0.99158307390752842</v>
      </c>
      <c r="AA50">
        <f t="shared" si="11"/>
        <v>1</v>
      </c>
      <c r="AB50">
        <f t="shared" si="12"/>
        <v>0.1823314781659415</v>
      </c>
      <c r="AC50">
        <f t="shared" si="13"/>
        <v>0.59895806636481652</v>
      </c>
      <c r="AD50">
        <f t="shared" si="14"/>
        <v>0.26648923550075376</v>
      </c>
      <c r="AE50">
        <f t="shared" si="15"/>
        <v>0.25892618130546885</v>
      </c>
      <c r="AF50">
        <f t="shared" si="16"/>
        <v>0.32507467339726709</v>
      </c>
      <c r="AG50">
        <f t="shared" si="17"/>
        <v>1.83697120602863E-2</v>
      </c>
      <c r="AJ50">
        <f t="shared" si="18"/>
        <v>0.93063175254952424</v>
      </c>
      <c r="AK50">
        <f t="shared" si="19"/>
        <v>0.17253149677818846</v>
      </c>
      <c r="AL50">
        <f t="shared" si="20"/>
        <v>1.0689665965170343</v>
      </c>
      <c r="AM50">
        <f t="shared" si="21"/>
        <v>0.42634212296994006</v>
      </c>
      <c r="AN50">
        <f t="shared" si="22"/>
        <v>0.97198504915337225</v>
      </c>
      <c r="AO50">
        <f t="shared" si="23"/>
        <v>-1.3545288597561438</v>
      </c>
      <c r="AP50">
        <f t="shared" si="24"/>
        <v>-0.35466465311289241</v>
      </c>
      <c r="AQ50">
        <f t="shared" si="25"/>
        <v>0.93063175254949859</v>
      </c>
      <c r="AS50">
        <f t="shared" si="26"/>
        <v>1.6678402162651627</v>
      </c>
      <c r="AT50">
        <f t="shared" si="27"/>
        <v>-0.38254381060277154</v>
      </c>
      <c r="AV50">
        <f t="shared" si="29"/>
        <v>3.7349263964509891</v>
      </c>
      <c r="AW50">
        <f t="shared" si="30"/>
        <v>3.7432043181861987</v>
      </c>
      <c r="AX50">
        <f t="shared" si="31"/>
        <v>4.8938247951314597</v>
      </c>
      <c r="AY50">
        <f t="shared" si="32"/>
        <v>7.867210403989672</v>
      </c>
      <c r="AZ50">
        <f t="shared" si="33"/>
        <v>8.6827136362638093</v>
      </c>
      <c r="BA50">
        <f t="shared" si="34"/>
        <v>10.312219455118475</v>
      </c>
      <c r="BB50">
        <f t="shared" si="35"/>
        <v>-39.45828285594316</v>
      </c>
    </row>
    <row r="51" spans="1:54" x14ac:dyDescent="0.25">
      <c r="A51" s="1">
        <v>39173</v>
      </c>
      <c r="B51">
        <v>267775</v>
      </c>
      <c r="C51">
        <v>151664</v>
      </c>
      <c r="D51">
        <v>46791</v>
      </c>
      <c r="E51">
        <v>82015</v>
      </c>
      <c r="F51">
        <v>69303</v>
      </c>
      <c r="G51">
        <v>84551</v>
      </c>
      <c r="H51">
        <f>'[1]Sheet 1'!H51</f>
        <v>292995.65149815002</v>
      </c>
      <c r="I51">
        <f>'[1]Sheet 1'!I51</f>
        <v>53286.717771405602</v>
      </c>
      <c r="J51">
        <f>'[1]Sheet 1'!J51</f>
        <v>176065.18883768201</v>
      </c>
      <c r="K51">
        <f>'[1]Sheet 1'!K51</f>
        <v>80132.548326673903</v>
      </c>
      <c r="L51">
        <f>'[1]Sheet 1'!L51</f>
        <v>77342.048666665098</v>
      </c>
      <c r="M51">
        <f>'[1]Sheet 1'!M51</f>
        <v>96918.414360594397</v>
      </c>
      <c r="N51">
        <f t="shared" si="0"/>
        <v>3087.5622563178331</v>
      </c>
      <c r="O51">
        <v>7.93</v>
      </c>
      <c r="P51">
        <v>88.796666666666695</v>
      </c>
      <c r="R51">
        <f t="shared" si="37"/>
        <v>0.87758773690466108</v>
      </c>
      <c r="S51">
        <f t="shared" si="38"/>
        <v>0.8036507228136206</v>
      </c>
      <c r="T51">
        <f t="shared" si="39"/>
        <v>1.4802412279925097</v>
      </c>
      <c r="U51">
        <f t="shared" si="40"/>
        <v>0.59130903975050653</v>
      </c>
      <c r="V51">
        <f t="shared" si="41"/>
        <v>0.90540966840562187</v>
      </c>
      <c r="W51">
        <f t="shared" si="42"/>
        <v>0.89860782187206156</v>
      </c>
      <c r="X51">
        <f t="shared" si="9"/>
        <v>-19.458428743074439</v>
      </c>
      <c r="Y51">
        <f t="shared" si="10"/>
        <v>1.3776306275450301</v>
      </c>
      <c r="Z51">
        <f t="shared" si="36"/>
        <v>2.4695157133515404</v>
      </c>
      <c r="AA51">
        <f t="shared" si="11"/>
        <v>1</v>
      </c>
      <c r="AB51">
        <f t="shared" si="12"/>
        <v>0.1820020263231166</v>
      </c>
      <c r="AC51">
        <f t="shared" si="13"/>
        <v>0.59734539447242041</v>
      </c>
      <c r="AD51">
        <f t="shared" si="14"/>
        <v>0.27427233758495034</v>
      </c>
      <c r="AE51">
        <f t="shared" si="15"/>
        <v>0.26389717150366326</v>
      </c>
      <c r="AF51">
        <f t="shared" si="16"/>
        <v>0.3307155685384976</v>
      </c>
      <c r="AG51">
        <f t="shared" si="17"/>
        <v>1.3198638654346825E-2</v>
      </c>
      <c r="AJ51">
        <f t="shared" si="18"/>
        <v>0.90900620356516704</v>
      </c>
      <c r="AK51">
        <f t="shared" si="19"/>
        <v>0.13249578670665246</v>
      </c>
      <c r="AL51">
        <f t="shared" si="20"/>
        <v>0.38172348000690326</v>
      </c>
      <c r="AM51">
        <f t="shared" si="21"/>
        <v>1.0276254647506973</v>
      </c>
      <c r="AN51">
        <f t="shared" si="22"/>
        <v>0.73698318581956868</v>
      </c>
      <c r="AO51">
        <f t="shared" si="23"/>
        <v>-0.86471201754012572</v>
      </c>
      <c r="AP51">
        <f t="shared" si="24"/>
        <v>-0.5051096961785313</v>
      </c>
      <c r="AQ51">
        <f t="shared" si="25"/>
        <v>0.90900620356516448</v>
      </c>
      <c r="AS51">
        <f t="shared" si="26"/>
        <v>1.5418447314642529</v>
      </c>
      <c r="AT51">
        <f t="shared" si="27"/>
        <v>-0.12772883172055705</v>
      </c>
      <c r="AV51">
        <f t="shared" si="29"/>
        <v>3.7118015202946975</v>
      </c>
      <c r="AW51">
        <f t="shared" si="30"/>
        <v>3.50659601888225</v>
      </c>
      <c r="AX51">
        <f t="shared" si="31"/>
        <v>5.3377932320098473</v>
      </c>
      <c r="AY51">
        <f t="shared" si="32"/>
        <v>6.7070591377392468</v>
      </c>
      <c r="AZ51">
        <f t="shared" si="33"/>
        <v>7.2943575149574222</v>
      </c>
      <c r="BA51">
        <f t="shared" si="34"/>
        <v>8.3760264872807593</v>
      </c>
      <c r="BB51">
        <f t="shared" si="35"/>
        <v>-49.653856382708319</v>
      </c>
    </row>
    <row r="52" spans="1:54" x14ac:dyDescent="0.25">
      <c r="A52" s="1">
        <v>39264</v>
      </c>
      <c r="B52">
        <v>269879</v>
      </c>
      <c r="C52">
        <v>153524</v>
      </c>
      <c r="D52">
        <v>48016</v>
      </c>
      <c r="E52">
        <v>81746</v>
      </c>
      <c r="F52">
        <v>70651</v>
      </c>
      <c r="G52">
        <v>86672</v>
      </c>
      <c r="H52">
        <f>'[1]Sheet 1'!H52</f>
        <v>295192.260679539</v>
      </c>
      <c r="I52">
        <f>'[1]Sheet 1'!I52</f>
        <v>53638.839388174201</v>
      </c>
      <c r="J52">
        <f>'[1]Sheet 1'!J52</f>
        <v>179002.26314830201</v>
      </c>
      <c r="K52">
        <f>'[1]Sheet 1'!K52</f>
        <v>80065.341372462601</v>
      </c>
      <c r="L52">
        <f>'[1]Sheet 1'!L52</f>
        <v>78671.838124527305</v>
      </c>
      <c r="M52">
        <f>'[1]Sheet 1'!M52</f>
        <v>98130.240016714306</v>
      </c>
      <c r="N52">
        <f t="shared" si="0"/>
        <v>1944.2186627872288</v>
      </c>
      <c r="O52">
        <v>8.01</v>
      </c>
      <c r="P52">
        <v>89.146666666666704</v>
      </c>
      <c r="R52">
        <f t="shared" si="37"/>
        <v>0.74970709297467142</v>
      </c>
      <c r="S52">
        <f t="shared" si="38"/>
        <v>0.66080560315079706</v>
      </c>
      <c r="T52">
        <f t="shared" si="39"/>
        <v>1.668174344973862</v>
      </c>
      <c r="U52">
        <f t="shared" si="40"/>
        <v>-8.3869732854771686E-2</v>
      </c>
      <c r="V52">
        <f t="shared" si="41"/>
        <v>1.7193615643586575</v>
      </c>
      <c r="W52">
        <f t="shared" si="42"/>
        <v>1.2503564612718419</v>
      </c>
      <c r="X52">
        <f t="shared" si="9"/>
        <v>-37.030624765251979</v>
      </c>
      <c r="Y52">
        <f t="shared" si="10"/>
        <v>0.39415893990015588</v>
      </c>
      <c r="Z52">
        <f t="shared" si="36"/>
        <v>2.4595816412535432</v>
      </c>
      <c r="AA52">
        <f t="shared" si="11"/>
        <v>1</v>
      </c>
      <c r="AB52">
        <f t="shared" si="12"/>
        <v>0.18186863012791865</v>
      </c>
      <c r="AC52">
        <f t="shared" si="13"/>
        <v>0.60091399970416859</v>
      </c>
      <c r="AD52">
        <f t="shared" si="14"/>
        <v>0.27349398503677064</v>
      </c>
      <c r="AE52">
        <f t="shared" si="15"/>
        <v>0.26396995406313545</v>
      </c>
      <c r="AF52">
        <f t="shared" si="16"/>
        <v>0.33078448046935038</v>
      </c>
      <c r="AG52">
        <f t="shared" si="17"/>
        <v>1.0537911537357161E-2</v>
      </c>
      <c r="AJ52">
        <f t="shared" si="18"/>
        <v>0.87758773690466108</v>
      </c>
      <c r="AK52">
        <f t="shared" si="19"/>
        <v>0.14626606000811626</v>
      </c>
      <c r="AL52">
        <f t="shared" si="20"/>
        <v>0.88421528024952567</v>
      </c>
      <c r="AM52">
        <f t="shared" si="21"/>
        <v>0.16217971256748376</v>
      </c>
      <c r="AN52">
        <f t="shared" si="22"/>
        <v>0.23893505054431327</v>
      </c>
      <c r="AO52">
        <f t="shared" si="23"/>
        <v>-0.29718359670355982</v>
      </c>
      <c r="AP52">
        <f t="shared" si="24"/>
        <v>-0.25682476976119561</v>
      </c>
      <c r="AQ52">
        <f t="shared" si="25"/>
        <v>0.87758773690468361</v>
      </c>
      <c r="AS52">
        <f t="shared" si="26"/>
        <v>1.1926610528251258</v>
      </c>
      <c r="AT52">
        <f t="shared" si="27"/>
        <v>-5.8248546159246545E-2</v>
      </c>
      <c r="AV52">
        <f t="shared" si="29"/>
        <v>3.5121672107972768</v>
      </c>
      <c r="AW52">
        <f t="shared" si="30"/>
        <v>3.1744105267829346</v>
      </c>
      <c r="AX52">
        <f t="shared" si="31"/>
        <v>5.6996829211393507</v>
      </c>
      <c r="AY52">
        <f t="shared" si="32"/>
        <v>6.0638673472033018</v>
      </c>
      <c r="AZ52">
        <f t="shared" si="33"/>
        <v>9.6396176003607685</v>
      </c>
      <c r="BA52">
        <f t="shared" si="34"/>
        <v>9.3939261349756578</v>
      </c>
      <c r="BB52">
        <f t="shared" si="35"/>
        <v>-69.133409725160533</v>
      </c>
    </row>
    <row r="53" spans="1:54" x14ac:dyDescent="0.25">
      <c r="A53" s="1">
        <v>39356</v>
      </c>
      <c r="B53">
        <v>275716</v>
      </c>
      <c r="C53">
        <v>157304</v>
      </c>
      <c r="D53">
        <v>49178</v>
      </c>
      <c r="E53">
        <v>83659</v>
      </c>
      <c r="F53">
        <v>70934</v>
      </c>
      <c r="G53">
        <v>88018</v>
      </c>
      <c r="H53">
        <f>'[1]Sheet 1'!H53</f>
        <v>296994.20855318097</v>
      </c>
      <c r="I53">
        <f>'[1]Sheet 1'!I53</f>
        <v>54139.192998736202</v>
      </c>
      <c r="J53">
        <f>'[1]Sheet 1'!J53</f>
        <v>180179.59041953401</v>
      </c>
      <c r="K53">
        <f>'[1]Sheet 1'!K53</f>
        <v>80519.768988633907</v>
      </c>
      <c r="L53">
        <f>'[1]Sheet 1'!L53</f>
        <v>78372.820500218295</v>
      </c>
      <c r="M53">
        <f>'[1]Sheet 1'!M53</f>
        <v>98310.950860170793</v>
      </c>
      <c r="N53">
        <f t="shared" si="0"/>
        <v>2093.7865062293567</v>
      </c>
      <c r="O53">
        <v>8.57</v>
      </c>
      <c r="P53">
        <v>90.716666666666697</v>
      </c>
      <c r="R53">
        <f t="shared" si="37"/>
        <v>0.61043195017845198</v>
      </c>
      <c r="S53">
        <f t="shared" si="38"/>
        <v>0.93281960659334084</v>
      </c>
      <c r="T53">
        <f t="shared" si="39"/>
        <v>0.65771641683468351</v>
      </c>
      <c r="U53">
        <f t="shared" si="40"/>
        <v>0.5675709469061232</v>
      </c>
      <c r="V53">
        <f t="shared" si="41"/>
        <v>-0.38008216337300255</v>
      </c>
      <c r="W53">
        <f t="shared" si="42"/>
        <v>0.18415408280434958</v>
      </c>
      <c r="X53">
        <f t="shared" si="9"/>
        <v>7.6929537970645594</v>
      </c>
      <c r="Y53">
        <f t="shared" si="10"/>
        <v>1.7611426862099826</v>
      </c>
      <c r="Z53">
        <f t="shared" si="36"/>
        <v>3.5696616813182938</v>
      </c>
      <c r="AA53">
        <f t="shared" si="11"/>
        <v>1</v>
      </c>
      <c r="AB53">
        <f t="shared" si="12"/>
        <v>0.18170814934204721</v>
      </c>
      <c r="AC53">
        <f t="shared" si="13"/>
        <v>0.60639212808708098</v>
      </c>
      <c r="AD53">
        <f t="shared" si="14"/>
        <v>0.27123116706430733</v>
      </c>
      <c r="AE53">
        <f t="shared" si="15"/>
        <v>0.26651050384391184</v>
      </c>
      <c r="AF53">
        <f t="shared" si="16"/>
        <v>0.33242822759247265</v>
      </c>
      <c r="AG53">
        <f t="shared" si="17"/>
        <v>6.5862792551254403E-3</v>
      </c>
      <c r="AJ53">
        <f t="shared" si="18"/>
        <v>0.74970709297467142</v>
      </c>
      <c r="AK53">
        <f t="shared" si="19"/>
        <v>0.12017980982588851</v>
      </c>
      <c r="AL53">
        <f t="shared" si="20"/>
        <v>1.0024293178421249</v>
      </c>
      <c r="AM53">
        <f t="shared" si="21"/>
        <v>-2.2937867462420877E-2</v>
      </c>
      <c r="AN53">
        <f t="shared" si="22"/>
        <v>0.45385979316167552</v>
      </c>
      <c r="AO53">
        <f t="shared" si="23"/>
        <v>-0.41359851244330165</v>
      </c>
      <c r="AP53">
        <f t="shared" si="24"/>
        <v>-0.39022544794929265</v>
      </c>
      <c r="AQ53">
        <f t="shared" si="25"/>
        <v>0.74970709297467386</v>
      </c>
      <c r="AS53">
        <f t="shared" si="26"/>
        <v>1.0996712602055927</v>
      </c>
      <c r="AT53">
        <f t="shared" si="27"/>
        <v>4.0261280718373871E-2</v>
      </c>
      <c r="AV53">
        <f t="shared" si="29"/>
        <v>3.1837775543730622</v>
      </c>
      <c r="AW53">
        <f t="shared" si="30"/>
        <v>3.1605307358809411</v>
      </c>
      <c r="AX53">
        <f t="shared" si="31"/>
        <v>4.5135549143244091</v>
      </c>
      <c r="AY53">
        <f t="shared" si="32"/>
        <v>4.9750987995576761</v>
      </c>
      <c r="AZ53">
        <f t="shared" si="33"/>
        <v>5.1605752189399787</v>
      </c>
      <c r="BA53">
        <f t="shared" si="34"/>
        <v>5.070840047960834</v>
      </c>
      <c r="BB53">
        <f t="shared" si="35"/>
        <v>-60.400154598874757</v>
      </c>
    </row>
    <row r="54" spans="1:54" x14ac:dyDescent="0.25">
      <c r="A54" s="1">
        <v>39448</v>
      </c>
      <c r="B54">
        <v>278379</v>
      </c>
      <c r="C54">
        <v>159003</v>
      </c>
      <c r="D54">
        <v>50592</v>
      </c>
      <c r="E54">
        <v>82562</v>
      </c>
      <c r="F54">
        <v>72115</v>
      </c>
      <c r="G54">
        <v>88555</v>
      </c>
      <c r="H54">
        <f>'[1]Sheet 1'!H54</f>
        <v>297549.78326966701</v>
      </c>
      <c r="I54">
        <f>'[1]Sheet 1'!I54</f>
        <v>54124.925433895303</v>
      </c>
      <c r="J54">
        <f>'[1]Sheet 1'!J54</f>
        <v>183117.89303194999</v>
      </c>
      <c r="K54">
        <f>'[1]Sheet 1'!K54</f>
        <v>80019.304494022697</v>
      </c>
      <c r="L54">
        <f>'[1]Sheet 1'!L54</f>
        <v>79061.464542619695</v>
      </c>
      <c r="M54">
        <f>'[1]Sheet 1'!M54</f>
        <v>97887.793115877896</v>
      </c>
      <c r="N54">
        <f t="shared" si="0"/>
        <v>-886.01111694279825</v>
      </c>
      <c r="O54">
        <v>9.6</v>
      </c>
      <c r="P54">
        <v>91.466666666666697</v>
      </c>
      <c r="R54">
        <f t="shared" si="37"/>
        <v>0.18706584185346273</v>
      </c>
      <c r="S54">
        <f t="shared" si="38"/>
        <v>-2.6353486357344875E-2</v>
      </c>
      <c r="T54">
        <f t="shared" si="39"/>
        <v>1.6307632876589262</v>
      </c>
      <c r="U54">
        <f t="shared" si="40"/>
        <v>-0.62154238753697177</v>
      </c>
      <c r="V54">
        <f t="shared" si="41"/>
        <v>0.87867712046867297</v>
      </c>
      <c r="W54">
        <f t="shared" si="42"/>
        <v>-0.43042788274396948</v>
      </c>
      <c r="X54">
        <f t="shared" si="9"/>
        <v>-142.31621105145013</v>
      </c>
      <c r="Y54">
        <f t="shared" si="10"/>
        <v>0.82674995406944674</v>
      </c>
      <c r="Z54">
        <f t="shared" si="36"/>
        <v>3.0068696272382605</v>
      </c>
      <c r="AA54">
        <f t="shared" si="11"/>
        <v>1</v>
      </c>
      <c r="AB54">
        <f t="shared" si="12"/>
        <v>0.18229039974374389</v>
      </c>
      <c r="AC54">
        <f t="shared" si="13"/>
        <v>0.60667711770302191</v>
      </c>
      <c r="AD54">
        <f t="shared" si="14"/>
        <v>0.27111562000110756</v>
      </c>
      <c r="AE54">
        <f t="shared" si="15"/>
        <v>0.26388669624911065</v>
      </c>
      <c r="AF54">
        <f t="shared" si="16"/>
        <v>0.33101975738549405</v>
      </c>
      <c r="AG54">
        <f t="shared" si="17"/>
        <v>7.0499236885100238E-3</v>
      </c>
      <c r="AJ54">
        <f t="shared" si="18"/>
        <v>0.61043195017845198</v>
      </c>
      <c r="AK54">
        <f t="shared" si="19"/>
        <v>0.16950092438405251</v>
      </c>
      <c r="AL54">
        <f t="shared" si="20"/>
        <v>0.39883405768219338</v>
      </c>
      <c r="AM54">
        <f t="shared" si="21"/>
        <v>0.15394293032114181</v>
      </c>
      <c r="AN54">
        <f t="shared" si="22"/>
        <v>-0.10129588886262292</v>
      </c>
      <c r="AO54">
        <f t="shared" si="23"/>
        <v>-6.1218015350567374E-2</v>
      </c>
      <c r="AP54">
        <f t="shared" si="24"/>
        <v>5.0667942004244793E-2</v>
      </c>
      <c r="AQ54">
        <f t="shared" si="25"/>
        <v>0.6104319501784421</v>
      </c>
      <c r="AS54">
        <f t="shared" si="26"/>
        <v>0.7222779123873877</v>
      </c>
      <c r="AT54">
        <f t="shared" si="27"/>
        <v>-0.16251390421319029</v>
      </c>
      <c r="AV54">
        <f t="shared" si="29"/>
        <v>2.4455626368650125</v>
      </c>
      <c r="AW54">
        <f t="shared" si="30"/>
        <v>2.3893065105329914</v>
      </c>
      <c r="AX54">
        <f t="shared" si="31"/>
        <v>5.5452703667384791</v>
      </c>
      <c r="AY54">
        <f t="shared" si="32"/>
        <v>0.44915275488328305</v>
      </c>
      <c r="AZ54">
        <f t="shared" si="33"/>
        <v>3.1486701760412052</v>
      </c>
      <c r="BA54">
        <f t="shared" si="34"/>
        <v>1.9077965039763354</v>
      </c>
      <c r="BB54">
        <f t="shared" si="35"/>
        <v>-123.11232020136819</v>
      </c>
    </row>
    <row r="55" spans="1:54" x14ac:dyDescent="0.25">
      <c r="A55" s="1">
        <v>39539</v>
      </c>
      <c r="B55">
        <v>279616</v>
      </c>
      <c r="C55">
        <v>158524</v>
      </c>
      <c r="D55">
        <v>51706</v>
      </c>
      <c r="E55">
        <v>81868</v>
      </c>
      <c r="F55">
        <v>71727</v>
      </c>
      <c r="G55">
        <v>86902</v>
      </c>
      <c r="H55">
        <f>'[1]Sheet 1'!H55</f>
        <v>297654.51813745999</v>
      </c>
      <c r="I55">
        <f>'[1]Sheet 1'!I55</f>
        <v>53623.677157551101</v>
      </c>
      <c r="J55">
        <f>'[1]Sheet 1'!J55</f>
        <v>185157.69288076999</v>
      </c>
      <c r="K55">
        <f>'[1]Sheet 1'!K55</f>
        <v>79756.004546746</v>
      </c>
      <c r="L55">
        <f>'[1]Sheet 1'!L55</f>
        <v>77661.803916142002</v>
      </c>
      <c r="M55">
        <f>'[1]Sheet 1'!M55</f>
        <v>94647.018066687597</v>
      </c>
      <c r="N55">
        <f t="shared" si="0"/>
        <v>-3897.6422970614803</v>
      </c>
      <c r="O55">
        <v>10.36</v>
      </c>
      <c r="P55">
        <v>93.256666666666703</v>
      </c>
      <c r="R55">
        <f t="shared" si="37"/>
        <v>3.519910740384026E-2</v>
      </c>
      <c r="S55">
        <f t="shared" si="38"/>
        <v>-0.92609508895563197</v>
      </c>
      <c r="T55">
        <f t="shared" si="39"/>
        <v>1.1139271073111876</v>
      </c>
      <c r="U55">
        <f t="shared" si="40"/>
        <v>-0.32904553337671782</v>
      </c>
      <c r="V55">
        <f t="shared" si="41"/>
        <v>-1.7703449266654772</v>
      </c>
      <c r="W55">
        <f t="shared" si="42"/>
        <v>-3.3107039662789459</v>
      </c>
      <c r="X55">
        <f t="shared" si="9"/>
        <v>339.90896079389893</v>
      </c>
      <c r="Y55">
        <f t="shared" si="10"/>
        <v>1.9569970845481111</v>
      </c>
      <c r="Z55">
        <f t="shared" si="36"/>
        <v>4.6103798982949415</v>
      </c>
      <c r="AA55">
        <f t="shared" si="11"/>
        <v>1</v>
      </c>
      <c r="AB55">
        <f t="shared" si="12"/>
        <v>0.1819020832048206</v>
      </c>
      <c r="AC55">
        <f t="shared" si="13"/>
        <v>0.61541934603256521</v>
      </c>
      <c r="AD55">
        <f t="shared" si="14"/>
        <v>0.26892745010505298</v>
      </c>
      <c r="AE55">
        <f t="shared" si="15"/>
        <v>0.26570835869494458</v>
      </c>
      <c r="AF55">
        <f t="shared" si="16"/>
        <v>0.32897954769189991</v>
      </c>
      <c r="AG55">
        <f t="shared" si="17"/>
        <v>-2.9776903454835097E-3</v>
      </c>
      <c r="AJ55">
        <f t="shared" si="18"/>
        <v>0.18706584185346273</v>
      </c>
      <c r="AK55">
        <f t="shared" si="19"/>
        <v>-4.8039875627216982E-3</v>
      </c>
      <c r="AL55">
        <f t="shared" si="20"/>
        <v>0.98934677101282131</v>
      </c>
      <c r="AM55">
        <f t="shared" si="21"/>
        <v>-0.16850984975405478</v>
      </c>
      <c r="AN55">
        <f t="shared" si="22"/>
        <v>0.2318712023901599</v>
      </c>
      <c r="AO55">
        <f t="shared" si="23"/>
        <v>0.14248013331786066</v>
      </c>
      <c r="AP55">
        <f t="shared" si="24"/>
        <v>-1.0033184275506102</v>
      </c>
      <c r="AQ55">
        <f t="shared" si="25"/>
        <v>0.18706584185345521</v>
      </c>
      <c r="AS55">
        <f t="shared" si="26"/>
        <v>0.81603293369604479</v>
      </c>
      <c r="AT55">
        <f t="shared" si="27"/>
        <v>0.37435133570802059</v>
      </c>
      <c r="AV55">
        <f t="shared" si="29"/>
        <v>1.5900804723511013</v>
      </c>
      <c r="AW55">
        <f t="shared" si="30"/>
        <v>0.6323515507016586</v>
      </c>
      <c r="AX55">
        <f t="shared" si="31"/>
        <v>5.1642826745669375</v>
      </c>
      <c r="AY55">
        <f t="shared" si="32"/>
        <v>-0.46990116724212744</v>
      </c>
      <c r="AZ55">
        <f t="shared" si="33"/>
        <v>0.41343002285213681</v>
      </c>
      <c r="BA55">
        <f t="shared" si="34"/>
        <v>-2.3436168543326032</v>
      </c>
      <c r="BB55">
        <f t="shared" si="35"/>
        <v>-226.23688118631603</v>
      </c>
    </row>
    <row r="56" spans="1:54" x14ac:dyDescent="0.25">
      <c r="A56" s="1">
        <v>39630</v>
      </c>
      <c r="B56">
        <v>278095</v>
      </c>
      <c r="C56">
        <v>157207</v>
      </c>
      <c r="D56">
        <v>52549</v>
      </c>
      <c r="E56">
        <v>77964</v>
      </c>
      <c r="F56">
        <v>73654</v>
      </c>
      <c r="G56">
        <v>85987</v>
      </c>
      <c r="H56">
        <f>'[1]Sheet 1'!H56</f>
        <v>297024.97971380001</v>
      </c>
      <c r="I56">
        <f>'[1]Sheet 1'!I56</f>
        <v>52820.549811254597</v>
      </c>
      <c r="J56">
        <f>'[1]Sheet 1'!J56</f>
        <v>186547.31164570199</v>
      </c>
      <c r="K56">
        <f>'[1]Sheet 1'!K56</f>
        <v>76785.282666730694</v>
      </c>
      <c r="L56">
        <f>'[1]Sheet 1'!L56</f>
        <v>78575.980388273994</v>
      </c>
      <c r="M56">
        <f>'[1]Sheet 1'!M56</f>
        <v>91147.523963788495</v>
      </c>
      <c r="N56">
        <f t="shared" si="0"/>
        <v>-6556.6208343727485</v>
      </c>
      <c r="O56">
        <v>11.23</v>
      </c>
      <c r="P56">
        <v>93.043333333333294</v>
      </c>
      <c r="R56">
        <f t="shared" si="37"/>
        <v>-0.21149970361587153</v>
      </c>
      <c r="S56">
        <f t="shared" si="38"/>
        <v>-1.4977103191503347</v>
      </c>
      <c r="T56">
        <f t="shared" si="39"/>
        <v>0.75050555194962021</v>
      </c>
      <c r="U56">
        <f t="shared" si="40"/>
        <v>-3.7247626644513372</v>
      </c>
      <c r="V56">
        <f t="shared" si="41"/>
        <v>1.1771249520795395</v>
      </c>
      <c r="W56">
        <f t="shared" si="42"/>
        <v>-3.6974161197908884</v>
      </c>
      <c r="X56">
        <f t="shared" si="9"/>
        <v>68.220178627369975</v>
      </c>
      <c r="Y56">
        <f t="shared" si="10"/>
        <v>-0.22875933802774698</v>
      </c>
      <c r="Z56">
        <f t="shared" si="36"/>
        <v>2.5647620797353623</v>
      </c>
      <c r="AA56">
        <f t="shared" si="11"/>
        <v>1</v>
      </c>
      <c r="AB56">
        <f t="shared" si="12"/>
        <v>0.180154084315922</v>
      </c>
      <c r="AC56">
        <f t="shared" si="13"/>
        <v>0.62205571089387002</v>
      </c>
      <c r="AD56">
        <f t="shared" si="14"/>
        <v>0.26794824095333852</v>
      </c>
      <c r="AE56">
        <f t="shared" si="15"/>
        <v>0.26091256535295382</v>
      </c>
      <c r="AF56">
        <f t="shared" si="16"/>
        <v>0.3179760840148867</v>
      </c>
      <c r="AG56">
        <f t="shared" si="17"/>
        <v>-1.3094517501197505E-2</v>
      </c>
      <c r="AJ56">
        <f t="shared" si="18"/>
        <v>3.519910740384026E-2</v>
      </c>
      <c r="AK56">
        <f t="shared" si="19"/>
        <v>-0.1684586259267831</v>
      </c>
      <c r="AL56">
        <f t="shared" si="20"/>
        <v>0.68553229190939813</v>
      </c>
      <c r="AM56">
        <f t="shared" si="21"/>
        <v>-8.8489376259457825E-2</v>
      </c>
      <c r="AN56">
        <f t="shared" si="22"/>
        <v>-0.47039544478820594</v>
      </c>
      <c r="AO56">
        <f t="shared" si="23"/>
        <v>1.0891538933682268</v>
      </c>
      <c r="AP56">
        <f t="shared" si="24"/>
        <v>-1.0121436308993257</v>
      </c>
      <c r="AQ56">
        <f t="shared" si="25"/>
        <v>3.5199107403852459E-2</v>
      </c>
      <c r="AS56">
        <f t="shared" si="26"/>
        <v>0.42858428972315721</v>
      </c>
      <c r="AT56">
        <f t="shared" si="27"/>
        <v>0.61875844858002083</v>
      </c>
      <c r="AV56">
        <f t="shared" si="29"/>
        <v>0.62085605836753743</v>
      </c>
      <c r="AW56">
        <f t="shared" si="30"/>
        <v>-1.5255542182741799</v>
      </c>
      <c r="AX56">
        <f t="shared" si="31"/>
        <v>4.2150576002209368</v>
      </c>
      <c r="AY56">
        <f t="shared" si="32"/>
        <v>-4.0967273098519978</v>
      </c>
      <c r="AZ56">
        <f t="shared" si="33"/>
        <v>-0.12184504460361055</v>
      </c>
      <c r="BA56">
        <f t="shared" si="34"/>
        <v>-7.115763756143326</v>
      </c>
      <c r="BB56">
        <f t="shared" si="35"/>
        <v>-437.23680159376659</v>
      </c>
    </row>
    <row r="57" spans="1:54" x14ac:dyDescent="0.25">
      <c r="A57" s="1">
        <v>39722</v>
      </c>
      <c r="B57">
        <v>276342</v>
      </c>
      <c r="C57">
        <v>154454</v>
      </c>
      <c r="D57">
        <v>53427</v>
      </c>
      <c r="E57">
        <v>74416</v>
      </c>
      <c r="F57">
        <v>66706</v>
      </c>
      <c r="G57">
        <v>75404</v>
      </c>
      <c r="H57">
        <f>'[1]Sheet 1'!H57</f>
        <v>292418.90396472497</v>
      </c>
      <c r="I57">
        <f>'[1]Sheet 1'!I57</f>
        <v>51961.152696030797</v>
      </c>
      <c r="J57">
        <f>'[1]Sheet 1'!J57</f>
        <v>189001.868067556</v>
      </c>
      <c r="K57">
        <f>'[1]Sheet 1'!K57</f>
        <v>72337.804495183998</v>
      </c>
      <c r="L57">
        <f>'[1]Sheet 1'!L57</f>
        <v>72960.644524344098</v>
      </c>
      <c r="M57">
        <f>'[1]Sheet 1'!M57</f>
        <v>84283.046770427405</v>
      </c>
      <c r="N57">
        <f t="shared" si="0"/>
        <v>-9559.5190479625453</v>
      </c>
      <c r="O57">
        <v>13.79</v>
      </c>
      <c r="P57">
        <v>92.126666666666694</v>
      </c>
      <c r="R57">
        <f t="shared" si="37"/>
        <v>-1.5507368280988518</v>
      </c>
      <c r="S57">
        <f t="shared" si="38"/>
        <v>-1.6270128165926194</v>
      </c>
      <c r="T57">
        <f t="shared" si="39"/>
        <v>1.3157822539494965</v>
      </c>
      <c r="U57">
        <f t="shared" si="40"/>
        <v>-5.7920971533698431</v>
      </c>
      <c r="V57">
        <f t="shared" si="41"/>
        <v>-7.1463770940971703</v>
      </c>
      <c r="W57">
        <f t="shared" si="42"/>
        <v>-7.5311724277757026</v>
      </c>
      <c r="X57">
        <f t="shared" si="9"/>
        <v>45.799479479540082</v>
      </c>
      <c r="Y57">
        <f t="shared" si="10"/>
        <v>-0.98520402679747854</v>
      </c>
      <c r="Z57">
        <f t="shared" si="36"/>
        <v>0.72157434402331966</v>
      </c>
      <c r="AA57">
        <f t="shared" si="11"/>
        <v>1</v>
      </c>
      <c r="AB57">
        <f t="shared" si="12"/>
        <v>0.17783201218345379</v>
      </c>
      <c r="AC57">
        <f t="shared" si="13"/>
        <v>0.62805260293410559</v>
      </c>
      <c r="AD57">
        <f t="shared" si="14"/>
        <v>0.2585145624476351</v>
      </c>
      <c r="AE57">
        <f t="shared" si="15"/>
        <v>0.26454334064423235</v>
      </c>
      <c r="AF57">
        <f t="shared" si="16"/>
        <v>0.30686821038289158</v>
      </c>
      <c r="AG57">
        <f t="shared" si="17"/>
        <v>-2.2074307826535043E-2</v>
      </c>
      <c r="AJ57">
        <f t="shared" si="18"/>
        <v>-0.21149970361587153</v>
      </c>
      <c r="AK57">
        <f t="shared" si="19"/>
        <v>-0.26981863111703586</v>
      </c>
      <c r="AL57">
        <f t="shared" si="20"/>
        <v>0.46685626464781732</v>
      </c>
      <c r="AM57">
        <f t="shared" si="21"/>
        <v>-0.99804360390840607</v>
      </c>
      <c r="AN57">
        <f t="shared" si="22"/>
        <v>0.30712669098804546</v>
      </c>
      <c r="AO57">
        <f t="shared" si="23"/>
        <v>1.1756898987446238</v>
      </c>
      <c r="AP57">
        <f t="shared" si="24"/>
        <v>-0.89331032297091617</v>
      </c>
      <c r="AQ57">
        <f t="shared" si="25"/>
        <v>-0.21149970361587156</v>
      </c>
      <c r="AS57">
        <f t="shared" si="26"/>
        <v>-0.80100597037762467</v>
      </c>
      <c r="AT57">
        <f t="shared" si="27"/>
        <v>1.4828165897326693</v>
      </c>
      <c r="AV57">
        <f t="shared" si="29"/>
        <v>-1.5405366356282753</v>
      </c>
      <c r="AW57">
        <f t="shared" si="30"/>
        <v>-4.0230379916380512</v>
      </c>
      <c r="AX57">
        <f t="shared" si="31"/>
        <v>4.8963801213444933</v>
      </c>
      <c r="AY57">
        <f t="shared" si="32"/>
        <v>-10.161435627820623</v>
      </c>
      <c r="AZ57">
        <f t="shared" si="33"/>
        <v>-6.9056797258676212</v>
      </c>
      <c r="BA57">
        <f t="shared" si="34"/>
        <v>-14.268913042755019</v>
      </c>
      <c r="BB57">
        <f t="shared" si="35"/>
        <v>-556.56608348183613</v>
      </c>
    </row>
    <row r="58" spans="1:54" x14ac:dyDescent="0.25">
      <c r="A58" s="1">
        <v>39814</v>
      </c>
      <c r="B58">
        <v>269883</v>
      </c>
      <c r="C58">
        <v>151196</v>
      </c>
      <c r="D58">
        <v>54147</v>
      </c>
      <c r="E58">
        <v>63838</v>
      </c>
      <c r="F58">
        <v>59330</v>
      </c>
      <c r="G58">
        <v>61242</v>
      </c>
      <c r="H58">
        <f>'[1]Sheet 1'!H58</f>
        <v>284599.35921272502</v>
      </c>
      <c r="I58">
        <f>'[1]Sheet 1'!I58</f>
        <v>51429.815396804101</v>
      </c>
      <c r="J58">
        <f>'[1]Sheet 1'!J58</f>
        <v>190689.96416885799</v>
      </c>
      <c r="K58">
        <f>'[1]Sheet 1'!K58</f>
        <v>65677.169405620196</v>
      </c>
      <c r="L58">
        <f>'[1]Sheet 1'!L58</f>
        <v>65879.4769395209</v>
      </c>
      <c r="M58">
        <f>'[1]Sheet 1'!M58</f>
        <v>72477.068359074503</v>
      </c>
      <c r="N58">
        <f t="shared" si="0"/>
        <v>-16599.998339003723</v>
      </c>
      <c r="O58">
        <v>17.239999999999998</v>
      </c>
      <c r="P58">
        <v>91.61</v>
      </c>
      <c r="R58">
        <f t="shared" si="37"/>
        <v>-2.6740900283735569</v>
      </c>
      <c r="S58">
        <f t="shared" si="38"/>
        <v>-1.0225664206007572</v>
      </c>
      <c r="T58">
        <f t="shared" si="39"/>
        <v>0.89316371238119108</v>
      </c>
      <c r="U58">
        <f t="shared" si="40"/>
        <v>-9.2076821187008022</v>
      </c>
      <c r="V58">
        <f t="shared" si="41"/>
        <v>-9.7054619390875718</v>
      </c>
      <c r="W58">
        <f t="shared" si="42"/>
        <v>-14.007536347743061</v>
      </c>
      <c r="X58">
        <f t="shared" si="9"/>
        <v>73.648886055012781</v>
      </c>
      <c r="Y58">
        <f t="shared" si="10"/>
        <v>-0.56082205658878426</v>
      </c>
      <c r="Z58">
        <f t="shared" si="36"/>
        <v>-1.7657361404010827</v>
      </c>
      <c r="AA58">
        <f t="shared" si="11"/>
        <v>1</v>
      </c>
      <c r="AB58">
        <f t="shared" si="12"/>
        <v>0.17769423245734811</v>
      </c>
      <c r="AC58">
        <f t="shared" si="13"/>
        <v>0.64633943122348769</v>
      </c>
      <c r="AD58">
        <f t="shared" si="14"/>
        <v>0.24737731902555191</v>
      </c>
      <c r="AE58">
        <f t="shared" si="15"/>
        <v>0.24950727718049814</v>
      </c>
      <c r="AF58">
        <f t="shared" si="16"/>
        <v>0.28822707980806406</v>
      </c>
      <c r="AG58">
        <f t="shared" si="17"/>
        <v>-3.269118007882188E-2</v>
      </c>
      <c r="AJ58">
        <f t="shared" si="18"/>
        <v>-1.5507368280988518</v>
      </c>
      <c r="AK58">
        <f t="shared" si="19"/>
        <v>-0.28933496302293416</v>
      </c>
      <c r="AL58">
        <f t="shared" si="20"/>
        <v>0.82638046948748567</v>
      </c>
      <c r="AM58">
        <f t="shared" si="21"/>
        <v>-1.4973414612575977</v>
      </c>
      <c r="AN58">
        <f t="shared" si="22"/>
        <v>-1.890526469975887</v>
      </c>
      <c r="AO58">
        <f t="shared" si="23"/>
        <v>2.3110774049965066</v>
      </c>
      <c r="AP58">
        <f t="shared" si="24"/>
        <v>-1.0109918083264426</v>
      </c>
      <c r="AQ58">
        <f t="shared" si="25"/>
        <v>-1.5507368280988694</v>
      </c>
      <c r="AS58">
        <f t="shared" si="26"/>
        <v>-0.96029595479304619</v>
      </c>
      <c r="AT58">
        <f t="shared" si="27"/>
        <v>0.42055093502061958</v>
      </c>
      <c r="AV58">
        <f t="shared" si="29"/>
        <v>-4.3523553990308663</v>
      </c>
      <c r="AW58">
        <f t="shared" si="30"/>
        <v>-4.9794249423638224</v>
      </c>
      <c r="AX58">
        <f t="shared" si="31"/>
        <v>4.1350798720618949</v>
      </c>
      <c r="AY58">
        <f t="shared" si="32"/>
        <v>-17.923343846951123</v>
      </c>
      <c r="AZ58">
        <f t="shared" si="33"/>
        <v>-16.673088057953663</v>
      </c>
      <c r="BA58">
        <f t="shared" si="34"/>
        <v>-25.959033244035457</v>
      </c>
      <c r="BB58">
        <f t="shared" si="35"/>
        <v>1773.5654690521717</v>
      </c>
    </row>
    <row r="59" spans="1:54" x14ac:dyDescent="0.25">
      <c r="A59" s="1">
        <v>39904</v>
      </c>
      <c r="B59">
        <v>268080</v>
      </c>
      <c r="C59">
        <v>149164</v>
      </c>
      <c r="D59">
        <v>54838</v>
      </c>
      <c r="E59">
        <v>62085</v>
      </c>
      <c r="F59">
        <v>60827</v>
      </c>
      <c r="G59">
        <v>61462</v>
      </c>
      <c r="H59">
        <f>'[1]Sheet 1'!H59</f>
        <v>284785.68000179098</v>
      </c>
      <c r="I59">
        <f>'[1]Sheet 1'!I59</f>
        <v>50986.955834660701</v>
      </c>
      <c r="J59">
        <f>'[1]Sheet 1'!J59</f>
        <v>192339.982914491</v>
      </c>
      <c r="K59">
        <f>'[1]Sheet 1'!K59</f>
        <v>62066.833408766601</v>
      </c>
      <c r="L59">
        <f>'[1]Sheet 1'!L59</f>
        <v>67456.569031128194</v>
      </c>
      <c r="M59">
        <f>'[1]Sheet 1'!M59</f>
        <v>73290.921311528102</v>
      </c>
      <c r="N59">
        <f t="shared" si="0"/>
        <v>-14773.73987572742</v>
      </c>
      <c r="O59">
        <v>17.77</v>
      </c>
      <c r="P59">
        <v>92.273333333333298</v>
      </c>
      <c r="R59">
        <f t="shared" si="37"/>
        <v>6.5467747215376709E-2</v>
      </c>
      <c r="S59">
        <f t="shared" si="38"/>
        <v>-0.86109498687976893</v>
      </c>
      <c r="T59">
        <f t="shared" si="39"/>
        <v>0.86528871764426341</v>
      </c>
      <c r="U59">
        <f t="shared" si="40"/>
        <v>-5.4970943929636649</v>
      </c>
      <c r="V59">
        <f t="shared" si="41"/>
        <v>2.3939049987526553</v>
      </c>
      <c r="W59">
        <f t="shared" si="42"/>
        <v>1.1229109715386276</v>
      </c>
      <c r="X59">
        <f t="shared" si="9"/>
        <v>-11.001558108504659</v>
      </c>
      <c r="Y59">
        <f t="shared" si="10"/>
        <v>0.72408397918709588</v>
      </c>
      <c r="Z59">
        <f t="shared" si="36"/>
        <v>-0.82757138250993767</v>
      </c>
      <c r="AA59">
        <f t="shared" si="11"/>
        <v>1</v>
      </c>
      <c r="AB59">
        <f t="shared" si="12"/>
        <v>0.18070952632877385</v>
      </c>
      <c r="AC59">
        <f t="shared" si="13"/>
        <v>0.67002949232336795</v>
      </c>
      <c r="AD59">
        <f t="shared" si="14"/>
        <v>0.23077061588367637</v>
      </c>
      <c r="AE59">
        <f t="shared" si="15"/>
        <v>0.23148146616268028</v>
      </c>
      <c r="AF59">
        <f t="shared" si="16"/>
        <v>0.25466349804709576</v>
      </c>
      <c r="AG59">
        <f t="shared" si="17"/>
        <v>-5.8327602651402959E-2</v>
      </c>
      <c r="AJ59">
        <f t="shared" si="18"/>
        <v>-2.6740900283735569</v>
      </c>
      <c r="AK59">
        <f t="shared" si="19"/>
        <v>-0.18170415524530936</v>
      </c>
      <c r="AL59">
        <f t="shared" si="20"/>
        <v>0.57728692584991781</v>
      </c>
      <c r="AM59">
        <f t="shared" si="21"/>
        <v>-2.2777717169637182</v>
      </c>
      <c r="AN59">
        <f t="shared" si="22"/>
        <v>-2.4215833822006978</v>
      </c>
      <c r="AO59">
        <f t="shared" si="23"/>
        <v>4.0373512968152978</v>
      </c>
      <c r="AP59">
        <f t="shared" si="24"/>
        <v>-2.4076689966290563</v>
      </c>
      <c r="AQ59">
        <f t="shared" si="25"/>
        <v>-2.6740900283735658</v>
      </c>
      <c r="AS59">
        <f t="shared" si="26"/>
        <v>-1.8821889463591097</v>
      </c>
      <c r="AT59">
        <f t="shared" si="27"/>
        <v>1.6157679146146</v>
      </c>
      <c r="AV59">
        <f t="shared" si="29"/>
        <v>-4.3234143449910754</v>
      </c>
      <c r="AW59">
        <f t="shared" si="30"/>
        <v>-4.9170841364412219</v>
      </c>
      <c r="AX59">
        <f t="shared" si="31"/>
        <v>3.8790124903673124</v>
      </c>
      <c r="AY59">
        <f t="shared" si="32"/>
        <v>-22.179108944219433</v>
      </c>
      <c r="AZ59">
        <f t="shared" si="33"/>
        <v>-13.140610146054888</v>
      </c>
      <c r="BA59">
        <f t="shared" si="34"/>
        <v>-22.563940408679485</v>
      </c>
      <c r="BB59">
        <f t="shared" si="35"/>
        <v>279.04298931858557</v>
      </c>
    </row>
    <row r="60" spans="1:54" x14ac:dyDescent="0.25">
      <c r="A60" s="1">
        <v>39995</v>
      </c>
      <c r="B60">
        <v>267667</v>
      </c>
      <c r="C60">
        <v>149706</v>
      </c>
      <c r="D60">
        <v>55485</v>
      </c>
      <c r="E60">
        <v>62999</v>
      </c>
      <c r="F60">
        <v>62679</v>
      </c>
      <c r="G60">
        <v>65872</v>
      </c>
      <c r="H60">
        <f>'[1]Sheet 1'!H60</f>
        <v>285346.90080279298</v>
      </c>
      <c r="I60">
        <f>'[1]Sheet 1'!I60</f>
        <v>51231.529206885301</v>
      </c>
      <c r="J60">
        <f>'[1]Sheet 1'!J60</f>
        <v>194289.912015254</v>
      </c>
      <c r="K60">
        <f>'[1]Sheet 1'!K60</f>
        <v>62612.594288386397</v>
      </c>
      <c r="L60">
        <f>'[1]Sheet 1'!L60</f>
        <v>70614.023047356794</v>
      </c>
      <c r="M60">
        <f>'[1]Sheet 1'!M60</f>
        <v>77504.182361273997</v>
      </c>
      <c r="N60">
        <f t="shared" si="0"/>
        <v>-15896.975393815497</v>
      </c>
      <c r="O60">
        <v>17.75</v>
      </c>
      <c r="P60">
        <v>92.353333333333296</v>
      </c>
      <c r="R60">
        <f t="shared" si="37"/>
        <v>0.19706777426395433</v>
      </c>
      <c r="S60">
        <f t="shared" si="38"/>
        <v>0.47967831815199402</v>
      </c>
      <c r="T60">
        <f t="shared" si="39"/>
        <v>1.0137929052587462</v>
      </c>
      <c r="U60">
        <f t="shared" si="40"/>
        <v>0.87931162207916147</v>
      </c>
      <c r="V60">
        <f t="shared" si="41"/>
        <v>4.6807213316342482</v>
      </c>
      <c r="W60">
        <f t="shared" si="42"/>
        <v>5.7486807019891861</v>
      </c>
      <c r="X60">
        <f t="shared" si="9"/>
        <v>7.6029192847337281</v>
      </c>
      <c r="Y60">
        <f t="shared" si="10"/>
        <v>8.6698937938008439E-2</v>
      </c>
      <c r="Z60">
        <f t="shared" si="36"/>
        <v>0.24603806353564209</v>
      </c>
      <c r="AA60">
        <f t="shared" si="11"/>
        <v>1</v>
      </c>
      <c r="AB60">
        <f t="shared" si="12"/>
        <v>0.17903623466720675</v>
      </c>
      <c r="AC60">
        <f t="shared" si="13"/>
        <v>0.67538502256602717</v>
      </c>
      <c r="AD60">
        <f t="shared" si="14"/>
        <v>0.21794225541247814</v>
      </c>
      <c r="AE60">
        <f t="shared" si="15"/>
        <v>0.23686784051327289</v>
      </c>
      <c r="AF60">
        <f t="shared" si="16"/>
        <v>0.25735465811015212</v>
      </c>
      <c r="AG60">
        <f t="shared" si="17"/>
        <v>-5.1876695048832897E-2</v>
      </c>
      <c r="AJ60">
        <f t="shared" si="18"/>
        <v>6.5467747215376709E-2</v>
      </c>
      <c r="AK60">
        <f t="shared" si="19"/>
        <v>-0.15560806720312478</v>
      </c>
      <c r="AL60">
        <f t="shared" si="20"/>
        <v>0.57976896019632385</v>
      </c>
      <c r="AM60">
        <f t="shared" si="21"/>
        <v>-1.2685678586349289</v>
      </c>
      <c r="AN60">
        <f t="shared" si="22"/>
        <v>0.55414463896543398</v>
      </c>
      <c r="AO60">
        <f t="shared" si="23"/>
        <v>-0.28596443600748972</v>
      </c>
      <c r="AP60">
        <f t="shared" si="24"/>
        <v>0.64169450989918009</v>
      </c>
      <c r="AQ60">
        <f t="shared" si="25"/>
        <v>6.5467747215394501E-2</v>
      </c>
      <c r="AS60">
        <f t="shared" si="26"/>
        <v>-0.8444069656417299</v>
      </c>
      <c r="AT60">
        <f t="shared" si="27"/>
        <v>0.26818020295794426</v>
      </c>
      <c r="AV60">
        <f t="shared" si="29"/>
        <v>-3.9316824201989702</v>
      </c>
      <c r="AW60">
        <f t="shared" si="30"/>
        <v>-3.0083378723761784</v>
      </c>
      <c r="AX60">
        <f t="shared" si="31"/>
        <v>4.150475448425146</v>
      </c>
      <c r="AY60">
        <f t="shared" si="32"/>
        <v>-18.457558383756524</v>
      </c>
      <c r="AZ60">
        <f t="shared" si="33"/>
        <v>-10.132813235767625</v>
      </c>
      <c r="BA60">
        <f t="shared" si="34"/>
        <v>-14.96841714310834</v>
      </c>
      <c r="BB60">
        <f t="shared" si="35"/>
        <v>142.45683554669532</v>
      </c>
    </row>
    <row r="61" spans="1:54" x14ac:dyDescent="0.25">
      <c r="A61" s="1">
        <v>40087</v>
      </c>
      <c r="B61">
        <v>267360</v>
      </c>
      <c r="C61">
        <v>150811</v>
      </c>
      <c r="D61">
        <v>55755</v>
      </c>
      <c r="E61">
        <v>61642</v>
      </c>
      <c r="F61">
        <v>63795</v>
      </c>
      <c r="G61">
        <v>67346</v>
      </c>
      <c r="H61">
        <f>'[1]Sheet 1'!H61</f>
        <v>285277.45396323298</v>
      </c>
      <c r="I61">
        <f>'[1]Sheet 1'!I61</f>
        <v>51246.361823799198</v>
      </c>
      <c r="J61">
        <f>'[1]Sheet 1'!J61</f>
        <v>194650.62330927499</v>
      </c>
      <c r="K61">
        <f>'[1]Sheet 1'!K61</f>
        <v>61990.0804035771</v>
      </c>
      <c r="L61">
        <f>'[1]Sheet 1'!L61</f>
        <v>71032.647721389396</v>
      </c>
      <c r="M61">
        <f>'[1]Sheet 1'!M61</f>
        <v>77346.939396583199</v>
      </c>
      <c r="N61">
        <f t="shared" si="0"/>
        <v>-16295.319898224523</v>
      </c>
      <c r="O61">
        <v>18.66</v>
      </c>
      <c r="P61">
        <v>92.74</v>
      </c>
      <c r="R61">
        <f t="shared" si="37"/>
        <v>-2.4337688394237555E-2</v>
      </c>
      <c r="S61">
        <f t="shared" si="38"/>
        <v>2.8952126051124988E-2</v>
      </c>
      <c r="T61">
        <f t="shared" si="39"/>
        <v>0.18565621358286052</v>
      </c>
      <c r="U61">
        <f t="shared" si="40"/>
        <v>-0.99423109980409075</v>
      </c>
      <c r="V61">
        <f t="shared" si="41"/>
        <v>0.59283504319227731</v>
      </c>
      <c r="W61">
        <f t="shared" si="42"/>
        <v>-0.20288319920315306</v>
      </c>
      <c r="X61">
        <f t="shared" si="9"/>
        <v>2.5057880165304676</v>
      </c>
      <c r="Y61">
        <f t="shared" si="10"/>
        <v>0.41868187396235346</v>
      </c>
      <c r="Z61">
        <f t="shared" si="36"/>
        <v>1.2334897936906402</v>
      </c>
      <c r="AA61">
        <f t="shared" si="11"/>
        <v>1</v>
      </c>
      <c r="AB61">
        <f t="shared" si="12"/>
        <v>0.17954121479066665</v>
      </c>
      <c r="AC61">
        <f t="shared" si="13"/>
        <v>0.68089021282039552</v>
      </c>
      <c r="AD61">
        <f t="shared" si="14"/>
        <v>0.21942622860887068</v>
      </c>
      <c r="AE61">
        <f t="shared" si="15"/>
        <v>0.24746728577984128</v>
      </c>
      <c r="AF61">
        <f t="shared" si="16"/>
        <v>0.27161389222460197</v>
      </c>
      <c r="AG61">
        <f t="shared" si="17"/>
        <v>-5.5711049775172106E-2</v>
      </c>
      <c r="AJ61">
        <f t="shared" si="18"/>
        <v>0.19706777426395433</v>
      </c>
      <c r="AK61">
        <f t="shared" si="19"/>
        <v>8.5879799933431464E-2</v>
      </c>
      <c r="AL61">
        <f t="shared" si="20"/>
        <v>0.68470054419545656</v>
      </c>
      <c r="AM61">
        <f t="shared" si="21"/>
        <v>0.19163915812633706</v>
      </c>
      <c r="AN61">
        <f t="shared" si="22"/>
        <v>1.1087123538686154</v>
      </c>
      <c r="AO61">
        <f t="shared" si="23"/>
        <v>-1.4794497566448563</v>
      </c>
      <c r="AP61">
        <f t="shared" si="24"/>
        <v>-0.39441432521502234</v>
      </c>
      <c r="AQ61">
        <f t="shared" si="25"/>
        <v>0.19706777426396188</v>
      </c>
      <c r="AS61">
        <f t="shared" si="26"/>
        <v>0.96221950225522501</v>
      </c>
      <c r="AT61">
        <f t="shared" si="27"/>
        <v>-0.3707374027762409</v>
      </c>
      <c r="AV61">
        <f t="shared" si="29"/>
        <v>-2.4421984709830786</v>
      </c>
      <c r="AW61">
        <f t="shared" si="30"/>
        <v>-1.3756255108755511</v>
      </c>
      <c r="AX61">
        <f t="shared" si="31"/>
        <v>2.9887298466806271</v>
      </c>
      <c r="AY61">
        <f t="shared" si="32"/>
        <v>-14.304725121006145</v>
      </c>
      <c r="AZ61">
        <f t="shared" si="33"/>
        <v>-2.6425161339020309</v>
      </c>
      <c r="BA61">
        <f t="shared" si="34"/>
        <v>-8.22954038756688</v>
      </c>
      <c r="BB61">
        <f t="shared" si="35"/>
        <v>70.461712733315835</v>
      </c>
    </row>
    <row r="62" spans="1:54" x14ac:dyDescent="0.25">
      <c r="A62" s="1">
        <v>40179</v>
      </c>
      <c r="B62">
        <v>269135</v>
      </c>
      <c r="C62">
        <v>152316</v>
      </c>
      <c r="D62">
        <v>55406</v>
      </c>
      <c r="E62">
        <v>61339</v>
      </c>
      <c r="F62">
        <v>65201</v>
      </c>
      <c r="G62">
        <v>67879</v>
      </c>
      <c r="H62">
        <f>'[1]Sheet 1'!H62</f>
        <v>285023.09785573598</v>
      </c>
      <c r="I62">
        <f>'[1]Sheet 1'!I62</f>
        <v>51539.670937312403</v>
      </c>
      <c r="J62">
        <f>'[1]Sheet 1'!J62</f>
        <v>194127.57146124801</v>
      </c>
      <c r="K62">
        <f>'[1]Sheet 1'!K62</f>
        <v>60620.058490812902</v>
      </c>
      <c r="L62">
        <f>'[1]Sheet 1'!L62</f>
        <v>71706.147274041607</v>
      </c>
      <c r="M62">
        <f>'[1]Sheet 1'!M62</f>
        <v>77664.450801624596</v>
      </c>
      <c r="N62">
        <f t="shared" si="0"/>
        <v>-15305.899506054331</v>
      </c>
      <c r="O62">
        <v>19.84</v>
      </c>
      <c r="P62">
        <v>93.29</v>
      </c>
      <c r="R62">
        <f t="shared" si="37"/>
        <v>-8.916095680305236E-2</v>
      </c>
      <c r="S62">
        <f t="shared" si="38"/>
        <v>0.57235109591134015</v>
      </c>
      <c r="T62">
        <f t="shared" si="39"/>
        <v>-0.26871316368502934</v>
      </c>
      <c r="U62">
        <f t="shared" si="40"/>
        <v>-2.2100663587542972</v>
      </c>
      <c r="V62">
        <f t="shared" si="41"/>
        <v>0.94815493193196299</v>
      </c>
      <c r="W62">
        <f t="shared" si="42"/>
        <v>0.41050286865704178</v>
      </c>
      <c r="X62">
        <f t="shared" si="9"/>
        <v>-6.0718071099542845</v>
      </c>
      <c r="Y62">
        <f t="shared" si="10"/>
        <v>0.59305585507872693</v>
      </c>
      <c r="Z62">
        <f t="shared" si="36"/>
        <v>1.1017990029622593</v>
      </c>
      <c r="AA62">
        <f t="shared" si="11"/>
        <v>1</v>
      </c>
      <c r="AB62">
        <f t="shared" si="12"/>
        <v>0.17963691526216408</v>
      </c>
      <c r="AC62">
        <f t="shared" si="13"/>
        <v>0.68232038881825507</v>
      </c>
      <c r="AD62">
        <f t="shared" si="14"/>
        <v>0.2172975099937848</v>
      </c>
      <c r="AE62">
        <f t="shared" si="15"/>
        <v>0.24899495818742198</v>
      </c>
      <c r="AF62">
        <f t="shared" si="16"/>
        <v>0.27112881975787612</v>
      </c>
      <c r="AG62">
        <f t="shared" si="17"/>
        <v>-5.7120952503749878E-2</v>
      </c>
      <c r="AJ62">
        <f t="shared" si="18"/>
        <v>-2.4337688394237555E-2</v>
      </c>
      <c r="AK62">
        <f t="shared" si="19"/>
        <v>5.1980998819914871E-3</v>
      </c>
      <c r="AL62">
        <f t="shared" si="20"/>
        <v>0.1264114987778627</v>
      </c>
      <c r="AM62">
        <f t="shared" si="21"/>
        <v>-0.21816038059566134</v>
      </c>
      <c r="AN62">
        <f t="shared" si="22"/>
        <v>0.14670727905396785</v>
      </c>
      <c r="AO62">
        <f t="shared" si="23"/>
        <v>5.5105895402547671E-2</v>
      </c>
      <c r="AP62">
        <f t="shared" si="24"/>
        <v>-0.13960008091495865</v>
      </c>
      <c r="AQ62">
        <f t="shared" si="25"/>
        <v>-2.4337688394250268E-2</v>
      </c>
      <c r="AS62">
        <f t="shared" si="26"/>
        <v>-8.6550781935807147E-2</v>
      </c>
      <c r="AT62">
        <f t="shared" si="27"/>
        <v>0.20181317445651553</v>
      </c>
      <c r="AV62">
        <f t="shared" si="29"/>
        <v>0.14888952813637102</v>
      </c>
      <c r="AW62">
        <f t="shared" si="30"/>
        <v>0.21360282874966149</v>
      </c>
      <c r="AX62">
        <f t="shared" si="31"/>
        <v>1.8027206137319234</v>
      </c>
      <c r="AY62">
        <f t="shared" si="32"/>
        <v>-7.6999526023643474</v>
      </c>
      <c r="AZ62">
        <f t="shared" si="33"/>
        <v>8.8444392779100891</v>
      </c>
      <c r="BA62">
        <f t="shared" si="34"/>
        <v>7.1572741006164149</v>
      </c>
      <c r="BB62">
        <f t="shared" si="35"/>
        <v>-7.7957768821503359</v>
      </c>
    </row>
    <row r="63" spans="1:54" x14ac:dyDescent="0.25">
      <c r="A63" s="1">
        <v>40269</v>
      </c>
      <c r="B63">
        <v>268461</v>
      </c>
      <c r="C63">
        <v>153870</v>
      </c>
      <c r="D63">
        <v>55346</v>
      </c>
      <c r="E63">
        <v>61021</v>
      </c>
      <c r="F63">
        <v>68118</v>
      </c>
      <c r="G63">
        <v>72693</v>
      </c>
      <c r="H63">
        <f>'[1]Sheet 1'!H63</f>
        <v>285374.56661692698</v>
      </c>
      <c r="I63">
        <f>'[1]Sheet 1'!I63</f>
        <v>51710.175400313099</v>
      </c>
      <c r="J63">
        <f>'[1]Sheet 1'!J63</f>
        <v>194018.86675232399</v>
      </c>
      <c r="K63">
        <f>'[1]Sheet 1'!K63</f>
        <v>60578.946754729797</v>
      </c>
      <c r="L63">
        <f>'[1]Sheet 1'!L63</f>
        <v>73465.575580299497</v>
      </c>
      <c r="M63">
        <f>'[1]Sheet 1'!M63</f>
        <v>79843.447433492503</v>
      </c>
      <c r="N63">
        <f t="shared" si="0"/>
        <v>-14555.550437246886</v>
      </c>
      <c r="O63">
        <v>19.89</v>
      </c>
      <c r="P63">
        <v>94.21</v>
      </c>
      <c r="R63">
        <f t="shared" si="37"/>
        <v>0.12331237848270818</v>
      </c>
      <c r="S63">
        <f t="shared" si="38"/>
        <v>0.33082179202905704</v>
      </c>
      <c r="T63">
        <f t="shared" si="39"/>
        <v>-5.5996532643855818E-2</v>
      </c>
      <c r="U63">
        <f t="shared" si="40"/>
        <v>-6.7818700784222238E-2</v>
      </c>
      <c r="V63">
        <f t="shared" si="41"/>
        <v>2.4536645366454133</v>
      </c>
      <c r="W63">
        <f t="shared" si="42"/>
        <v>2.805655109097001</v>
      </c>
      <c r="X63">
        <f t="shared" si="9"/>
        <v>-4.9023519885952513</v>
      </c>
      <c r="Y63">
        <f t="shared" si="10"/>
        <v>0.98617215135597314</v>
      </c>
      <c r="Z63">
        <f t="shared" si="36"/>
        <v>2.0103948603190989</v>
      </c>
      <c r="AA63">
        <f t="shared" si="11"/>
        <v>1</v>
      </c>
      <c r="AB63">
        <f t="shared" si="12"/>
        <v>0.18082629557061067</v>
      </c>
      <c r="AC63">
        <f t="shared" si="13"/>
        <v>0.68109417419743778</v>
      </c>
      <c r="AD63">
        <f t="shared" si="14"/>
        <v>0.21268472256061036</v>
      </c>
      <c r="AE63">
        <f t="shared" si="15"/>
        <v>0.25158012741246527</v>
      </c>
      <c r="AF63">
        <f t="shared" si="16"/>
        <v>0.27248476136111027</v>
      </c>
      <c r="AG63">
        <f t="shared" si="17"/>
        <v>-5.370055838001378E-2</v>
      </c>
      <c r="AJ63">
        <f t="shared" si="18"/>
        <v>-8.916095680305236E-2</v>
      </c>
      <c r="AK63">
        <f t="shared" si="19"/>
        <v>0.10281538531643215</v>
      </c>
      <c r="AL63">
        <f t="shared" si="20"/>
        <v>-0.18334847032615265</v>
      </c>
      <c r="AM63">
        <f t="shared" si="21"/>
        <v>-0.48024191667833949</v>
      </c>
      <c r="AN63">
        <f t="shared" si="22"/>
        <v>0.23608579763159707</v>
      </c>
      <c r="AO63">
        <f t="shared" si="23"/>
        <v>-0.11129915828620618</v>
      </c>
      <c r="AP63">
        <f t="shared" si="24"/>
        <v>0.34682740553962949</v>
      </c>
      <c r="AQ63">
        <f t="shared" si="25"/>
        <v>-8.9160956803039537E-2</v>
      </c>
      <c r="AS63">
        <f t="shared" si="26"/>
        <v>-0.56077500168805994</v>
      </c>
      <c r="AT63">
        <f t="shared" si="27"/>
        <v>0.12478663934539089</v>
      </c>
      <c r="AV63">
        <f t="shared" si="29"/>
        <v>0.20678238285446607</v>
      </c>
      <c r="AW63">
        <f t="shared" si="30"/>
        <v>1.4184403712934688</v>
      </c>
      <c r="AX63">
        <f t="shared" si="31"/>
        <v>0.87287303055411358</v>
      </c>
      <c r="AY63">
        <f t="shared" si="32"/>
        <v>-2.3972330668744055</v>
      </c>
      <c r="AZ63">
        <f t="shared" si="33"/>
        <v>8.9079635022623442</v>
      </c>
      <c r="BA63">
        <f t="shared" si="34"/>
        <v>8.940433555354609</v>
      </c>
      <c r="BB63">
        <f t="shared" si="35"/>
        <v>-1.4768734275537765</v>
      </c>
    </row>
    <row r="64" spans="1:54" x14ac:dyDescent="0.25">
      <c r="A64" s="1">
        <v>40360</v>
      </c>
      <c r="B64">
        <v>269037</v>
      </c>
      <c r="C64">
        <v>153960</v>
      </c>
      <c r="D64">
        <v>55069</v>
      </c>
      <c r="E64">
        <v>59602</v>
      </c>
      <c r="F64">
        <v>70575</v>
      </c>
      <c r="G64">
        <v>72966</v>
      </c>
      <c r="H64">
        <f>'[1]Sheet 1'!H64</f>
        <v>285195.02112928301</v>
      </c>
      <c r="I64">
        <f>'[1]Sheet 1'!I64</f>
        <v>51211.658208988003</v>
      </c>
      <c r="J64">
        <f>'[1]Sheet 1'!J64</f>
        <v>194583.27142747401</v>
      </c>
      <c r="K64">
        <f>'[1]Sheet 1'!K64</f>
        <v>60239.783542432997</v>
      </c>
      <c r="L64">
        <f>'[1]Sheet 1'!L64</f>
        <v>75833.795164826806</v>
      </c>
      <c r="M64">
        <f>'[1]Sheet 1'!M64</f>
        <v>79908.045427307297</v>
      </c>
      <c r="N64">
        <f t="shared" si="0"/>
        <v>-16765.441787131524</v>
      </c>
      <c r="O64">
        <v>19.59</v>
      </c>
      <c r="P64">
        <v>94.463333333333296</v>
      </c>
      <c r="R64">
        <f t="shared" si="37"/>
        <v>-6.2915728536169599E-2</v>
      </c>
      <c r="S64">
        <f t="shared" si="38"/>
        <v>-0.96406014380310456</v>
      </c>
      <c r="T64">
        <f t="shared" si="39"/>
        <v>0.29090195432927796</v>
      </c>
      <c r="U64">
        <f t="shared" si="40"/>
        <v>-0.55986977401570559</v>
      </c>
      <c r="V64">
        <f t="shared" si="41"/>
        <v>3.2235772548175201</v>
      </c>
      <c r="W64">
        <f t="shared" si="42"/>
        <v>8.0905817435553889E-2</v>
      </c>
      <c r="X64">
        <f t="shared" si="9"/>
        <v>15.182464994450791</v>
      </c>
      <c r="Y64">
        <f t="shared" si="10"/>
        <v>0.26890280578845338</v>
      </c>
      <c r="Z64">
        <f t="shared" si="36"/>
        <v>1.8582416792466041</v>
      </c>
      <c r="AA64">
        <f t="shared" si="11"/>
        <v>1</v>
      </c>
      <c r="AB64">
        <f t="shared" si="12"/>
        <v>0.18120106501896624</v>
      </c>
      <c r="AC64">
        <f t="shared" si="13"/>
        <v>0.67987441576307506</v>
      </c>
      <c r="AD64">
        <f t="shared" si="14"/>
        <v>0.21227871661053821</v>
      </c>
      <c r="AE64">
        <f t="shared" si="15"/>
        <v>0.25743560980651836</v>
      </c>
      <c r="AF64">
        <f t="shared" si="16"/>
        <v>0.27978473477866189</v>
      </c>
      <c r="AG64">
        <f t="shared" si="17"/>
        <v>-5.1005072420435955E-2</v>
      </c>
      <c r="AJ64">
        <f t="shared" si="18"/>
        <v>0.12331237848270818</v>
      </c>
      <c r="AK64">
        <f t="shared" si="19"/>
        <v>5.9821279146645361E-2</v>
      </c>
      <c r="AL64">
        <f t="shared" si="20"/>
        <v>-3.8138912158986848E-2</v>
      </c>
      <c r="AM64">
        <f t="shared" si="21"/>
        <v>-1.4424001560713355E-2</v>
      </c>
      <c r="AN64">
        <f t="shared" si="22"/>
        <v>0.61729323675670067</v>
      </c>
      <c r="AO64">
        <f t="shared" si="23"/>
        <v>-0.76449826286387612</v>
      </c>
      <c r="AP64">
        <f t="shared" si="24"/>
        <v>0.26325903916293592</v>
      </c>
      <c r="AQ64">
        <f t="shared" si="25"/>
        <v>0.1233123784827056</v>
      </c>
      <c r="AS64">
        <f t="shared" si="26"/>
        <v>7.2583654269451573E-3</v>
      </c>
      <c r="AT64">
        <f t="shared" si="27"/>
        <v>-0.14720502610717545</v>
      </c>
      <c r="AV64">
        <f t="shared" si="29"/>
        <v>-5.3226326651061487E-2</v>
      </c>
      <c r="AW64">
        <f t="shared" si="30"/>
        <v>-3.8786657757285507E-2</v>
      </c>
      <c r="AX64">
        <f t="shared" si="31"/>
        <v>0.15099055281726803</v>
      </c>
      <c r="AY64">
        <f t="shared" si="32"/>
        <v>-3.7896700702489778</v>
      </c>
      <c r="AZ64">
        <f t="shared" si="33"/>
        <v>7.391976681415545</v>
      </c>
      <c r="BA64">
        <f t="shared" si="34"/>
        <v>3.1015914145485168</v>
      </c>
      <c r="BB64">
        <f t="shared" si="35"/>
        <v>5.4630920146853308</v>
      </c>
    </row>
    <row r="65" spans="1:54" x14ac:dyDescent="0.25">
      <c r="A65" s="1">
        <v>40452</v>
      </c>
      <c r="B65">
        <v>270512</v>
      </c>
      <c r="C65">
        <v>155089</v>
      </c>
      <c r="D65">
        <v>54829</v>
      </c>
      <c r="E65">
        <v>59306</v>
      </c>
      <c r="F65">
        <v>74309</v>
      </c>
      <c r="G65">
        <v>75843</v>
      </c>
      <c r="H65">
        <f>'[1]Sheet 1'!H65</f>
        <v>285489.46443685098</v>
      </c>
      <c r="I65">
        <f>'[1]Sheet 1'!I65</f>
        <v>51288.364027885596</v>
      </c>
      <c r="J65">
        <f>'[1]Sheet 1'!J65</f>
        <v>194649.80444141099</v>
      </c>
      <c r="K65">
        <f>'[1]Sheet 1'!K65</f>
        <v>59507.923460940197</v>
      </c>
      <c r="L65">
        <f>'[1]Sheet 1'!L65</f>
        <v>78666.847326768999</v>
      </c>
      <c r="M65">
        <f>'[1]Sheet 1'!M65</f>
        <v>81836.8270451586</v>
      </c>
      <c r="N65">
        <f t="shared" si="0"/>
        <v>-16786.647774996214</v>
      </c>
      <c r="O65">
        <v>20.11</v>
      </c>
      <c r="P65">
        <v>95.263333333333307</v>
      </c>
      <c r="R65">
        <f t="shared" si="37"/>
        <v>0.10324279379144369</v>
      </c>
      <c r="S65">
        <f t="shared" si="38"/>
        <v>0.14978194727569086</v>
      </c>
      <c r="T65">
        <f t="shared" si="39"/>
        <v>3.4192566220562645E-2</v>
      </c>
      <c r="U65">
        <f t="shared" si="40"/>
        <v>-1.2149115392774879</v>
      </c>
      <c r="V65">
        <f t="shared" si="41"/>
        <v>3.7358702090334219</v>
      </c>
      <c r="W65">
        <f t="shared" si="42"/>
        <v>2.4137514658720107</v>
      </c>
      <c r="X65">
        <f t="shared" si="9"/>
        <v>0.12648630518622778</v>
      </c>
      <c r="Y65">
        <f t="shared" si="10"/>
        <v>0.846889445640296</v>
      </c>
      <c r="Z65">
        <f t="shared" si="36"/>
        <v>2.1152678029084582</v>
      </c>
      <c r="AA65">
        <f t="shared" si="11"/>
        <v>1</v>
      </c>
      <c r="AB65">
        <f t="shared" si="12"/>
        <v>0.17956715375396762</v>
      </c>
      <c r="AC65">
        <f t="shared" si="13"/>
        <v>0.68228144606797547</v>
      </c>
      <c r="AD65">
        <f t="shared" si="14"/>
        <v>0.21122312480737676</v>
      </c>
      <c r="AE65">
        <f t="shared" si="15"/>
        <v>0.26590153946078271</v>
      </c>
      <c r="AF65">
        <f t="shared" si="16"/>
        <v>0.2801873788360556</v>
      </c>
      <c r="AG65">
        <f t="shared" si="17"/>
        <v>-5.8785885254046939E-2</v>
      </c>
      <c r="AJ65">
        <f t="shared" si="18"/>
        <v>-6.2915728536169599E-2</v>
      </c>
      <c r="AK65">
        <f t="shared" si="19"/>
        <v>-0.17468872479946029</v>
      </c>
      <c r="AL65">
        <f t="shared" si="20"/>
        <v>0.19777679624395458</v>
      </c>
      <c r="AM65">
        <f t="shared" si="21"/>
        <v>-0.11884843709708603</v>
      </c>
      <c r="AN65">
        <f t="shared" si="22"/>
        <v>0.82986357635237074</v>
      </c>
      <c r="AO65">
        <f t="shared" si="23"/>
        <v>-2.2636212673257283E-2</v>
      </c>
      <c r="AP65">
        <f t="shared" si="24"/>
        <v>-0.77438272656269636</v>
      </c>
      <c r="AQ65">
        <f t="shared" si="25"/>
        <v>-6.2915728536174664E-2</v>
      </c>
      <c r="AS65">
        <f t="shared" si="26"/>
        <v>-9.5760365652591745E-2</v>
      </c>
      <c r="AT65">
        <f t="shared" si="27"/>
        <v>0.80722736367911341</v>
      </c>
      <c r="AV65">
        <f t="shared" si="29"/>
        <v>7.4317290298488534E-2</v>
      </c>
      <c r="AW65">
        <f t="shared" si="30"/>
        <v>8.1961338505970899E-2</v>
      </c>
      <c r="AX65">
        <f t="shared" si="31"/>
        <v>-4.2068597062688877E-4</v>
      </c>
      <c r="AY65">
        <f t="shared" si="32"/>
        <v>-4.00411957280454</v>
      </c>
      <c r="AZ65">
        <f t="shared" si="33"/>
        <v>10.747451841191594</v>
      </c>
      <c r="BA65">
        <f t="shared" si="34"/>
        <v>5.8048678895415238</v>
      </c>
      <c r="BB65">
        <f t="shared" si="35"/>
        <v>3.0151471701100165</v>
      </c>
    </row>
    <row r="66" spans="1:54" x14ac:dyDescent="0.25">
      <c r="A66" s="1">
        <v>40544</v>
      </c>
      <c r="B66">
        <v>269181</v>
      </c>
      <c r="C66">
        <v>154463</v>
      </c>
      <c r="D66">
        <v>55178</v>
      </c>
      <c r="E66">
        <v>57786</v>
      </c>
      <c r="F66">
        <v>77660</v>
      </c>
      <c r="G66">
        <v>78684</v>
      </c>
      <c r="H66">
        <f>'[1]Sheet 1'!H66</f>
        <v>285265.03257729497</v>
      </c>
      <c r="I66">
        <f>'[1]Sheet 1'!I66</f>
        <v>50800.488650600302</v>
      </c>
      <c r="J66">
        <f>'[1]Sheet 1'!J66</f>
        <v>196520.50807634799</v>
      </c>
      <c r="K66">
        <f>'[1]Sheet 1'!K66</f>
        <v>57869.664978024201</v>
      </c>
      <c r="L66">
        <f>'[1]Sheet 1'!L66</f>
        <v>80876.221865404397</v>
      </c>
      <c r="M66">
        <f>'[1]Sheet 1'!M66</f>
        <v>81685.062644500198</v>
      </c>
      <c r="N66">
        <f t="shared" si="0"/>
        <v>-19116.788348581758</v>
      </c>
      <c r="O66">
        <v>21.08</v>
      </c>
      <c r="P66">
        <v>96.47</v>
      </c>
      <c r="R66">
        <f t="shared" si="37"/>
        <v>-7.86130094147999E-2</v>
      </c>
      <c r="S66">
        <f t="shared" si="38"/>
        <v>-0.95123988946115601</v>
      </c>
      <c r="T66">
        <f t="shared" si="39"/>
        <v>0.96106114275603027</v>
      </c>
      <c r="U66">
        <f t="shared" si="40"/>
        <v>-2.7530089904604331</v>
      </c>
      <c r="V66">
        <f t="shared" si="41"/>
        <v>2.8085205060500571</v>
      </c>
      <c r="W66">
        <f t="shared" si="42"/>
        <v>-0.18544756210386298</v>
      </c>
      <c r="X66">
        <f t="shared" si="9"/>
        <v>13.880916576186813</v>
      </c>
      <c r="Y66">
        <f t="shared" si="10"/>
        <v>1.2666643339515296</v>
      </c>
      <c r="Z66">
        <f t="shared" si="36"/>
        <v>2.3988960832183475</v>
      </c>
      <c r="AA66">
        <f t="shared" si="11"/>
        <v>1</v>
      </c>
      <c r="AB66">
        <f t="shared" si="12"/>
        <v>0.17965063659724073</v>
      </c>
      <c r="AC66">
        <f t="shared" si="13"/>
        <v>0.68181081506938301</v>
      </c>
      <c r="AD66">
        <f t="shared" si="14"/>
        <v>0.20844174960474973</v>
      </c>
      <c r="AE66">
        <f t="shared" si="15"/>
        <v>0.27555078952543888</v>
      </c>
      <c r="AF66">
        <f t="shared" si="16"/>
        <v>0.28665445573127463</v>
      </c>
      <c r="AG66">
        <f t="shared" si="17"/>
        <v>-5.8799535065537763E-2</v>
      </c>
      <c r="AJ66">
        <f t="shared" si="18"/>
        <v>0.10324279379144369</v>
      </c>
      <c r="AK66">
        <f t="shared" si="19"/>
        <v>2.6895917956022652E-2</v>
      </c>
      <c r="AL66">
        <f t="shared" si="20"/>
        <v>2.3328953525740492E-2</v>
      </c>
      <c r="AM66">
        <f t="shared" si="21"/>
        <v>-0.25661741169073105</v>
      </c>
      <c r="AN66">
        <f t="shared" si="22"/>
        <v>0.99337363980766302</v>
      </c>
      <c r="AO66">
        <f t="shared" si="23"/>
        <v>-0.67630269638436558</v>
      </c>
      <c r="AP66">
        <f t="shared" si="24"/>
        <v>-7.4356094228859486E-3</v>
      </c>
      <c r="AQ66">
        <f t="shared" si="25"/>
        <v>0.10324279379144359</v>
      </c>
      <c r="AS66">
        <f t="shared" si="26"/>
        <v>-0.20639254020896791</v>
      </c>
      <c r="AT66">
        <f t="shared" si="27"/>
        <v>0.31707094342329745</v>
      </c>
      <c r="AV66">
        <f t="shared" si="29"/>
        <v>8.4882496674515126E-2</v>
      </c>
      <c r="AW66">
        <f t="shared" si="30"/>
        <v>-1.4342006327730863</v>
      </c>
      <c r="AX66">
        <f t="shared" si="31"/>
        <v>1.2326619022160208</v>
      </c>
      <c r="AY66">
        <f t="shared" si="32"/>
        <v>-4.5371013840336847</v>
      </c>
      <c r="AZ66">
        <f t="shared" si="33"/>
        <v>12.788407884078937</v>
      </c>
      <c r="BA66">
        <f t="shared" si="34"/>
        <v>5.1769011450879896</v>
      </c>
      <c r="BB66">
        <f t="shared" si="35"/>
        <v>24.898169761404805</v>
      </c>
    </row>
    <row r="67" spans="1:54" x14ac:dyDescent="0.25">
      <c r="A67" s="1">
        <v>40634</v>
      </c>
      <c r="B67">
        <v>268986</v>
      </c>
      <c r="C67">
        <v>153919</v>
      </c>
      <c r="D67">
        <v>55013</v>
      </c>
      <c r="E67">
        <v>56100</v>
      </c>
      <c r="F67">
        <v>78478</v>
      </c>
      <c r="G67">
        <v>77304</v>
      </c>
      <c r="H67">
        <f>'[1]Sheet 1'!H67</f>
        <v>284526.52472245402</v>
      </c>
      <c r="I67">
        <f>'[1]Sheet 1'!I67</f>
        <v>50284.125231305698</v>
      </c>
      <c r="J67">
        <f>'[1]Sheet 1'!J67</f>
        <v>196333.60148642701</v>
      </c>
      <c r="K67">
        <f>'[1]Sheet 1'!K67</f>
        <v>56642.093336502403</v>
      </c>
      <c r="L67">
        <f>'[1]Sheet 1'!L67</f>
        <v>80906.338748428301</v>
      </c>
      <c r="M67">
        <f>'[1]Sheet 1'!M67</f>
        <v>79094.683092528299</v>
      </c>
      <c r="N67">
        <f t="shared" ref="N67:N129" si="43">H67+M67-I67-J67-K67-L67</f>
        <v>-20544.950987681099</v>
      </c>
      <c r="O67">
        <v>20.64</v>
      </c>
      <c r="P67">
        <v>97.16</v>
      </c>
      <c r="R67">
        <f t="shared" si="37"/>
        <v>-0.25888481604938596</v>
      </c>
      <c r="S67">
        <f t="shared" si="38"/>
        <v>-1.0164536464325977</v>
      </c>
      <c r="T67">
        <f t="shared" si="39"/>
        <v>-9.5107931355626646E-2</v>
      </c>
      <c r="U67">
        <f t="shared" si="40"/>
        <v>-2.1212696530867485</v>
      </c>
      <c r="V67">
        <f t="shared" si="41"/>
        <v>3.7238241759147667E-2</v>
      </c>
      <c r="W67">
        <f t="shared" si="42"/>
        <v>-3.1711789990851003</v>
      </c>
      <c r="X67">
        <f t="shared" si="9"/>
        <v>7.4707247528076213</v>
      </c>
      <c r="Y67">
        <f t="shared" si="10"/>
        <v>0.71524826370892269</v>
      </c>
      <c r="Z67">
        <f t="shared" si="36"/>
        <v>2.854723173012494</v>
      </c>
      <c r="AA67">
        <f t="shared" si="11"/>
        <v>1</v>
      </c>
      <c r="AB67">
        <f t="shared" si="12"/>
        <v>0.17808172348230406</v>
      </c>
      <c r="AC67">
        <f t="shared" si="13"/>
        <v>0.68890500283486056</v>
      </c>
      <c r="AD67">
        <f t="shared" si="14"/>
        <v>0.20286280605508117</v>
      </c>
      <c r="AE67">
        <f t="shared" si="15"/>
        <v>0.28351256771539396</v>
      </c>
      <c r="AF67">
        <f t="shared" si="16"/>
        <v>0.2863479687871206</v>
      </c>
      <c r="AG67">
        <f t="shared" si="17"/>
        <v>-6.7014131300519295E-2</v>
      </c>
      <c r="AJ67">
        <f t="shared" si="18"/>
        <v>-7.86130094147999E-2</v>
      </c>
      <c r="AK67">
        <f t="shared" si="19"/>
        <v>-0.17089085169838558</v>
      </c>
      <c r="AL67">
        <f t="shared" si="20"/>
        <v>0.65526188107400163</v>
      </c>
      <c r="AM67">
        <f t="shared" si="21"/>
        <v>-0.57384201064917839</v>
      </c>
      <c r="AN67">
        <f t="shared" si="22"/>
        <v>0.77389004284047835</v>
      </c>
      <c r="AO67">
        <f t="shared" si="23"/>
        <v>5.315936998157459E-2</v>
      </c>
      <c r="AP67">
        <f t="shared" si="24"/>
        <v>-0.81619144096330087</v>
      </c>
      <c r="AQ67">
        <f t="shared" si="25"/>
        <v>-7.8613009414810309E-2</v>
      </c>
      <c r="AS67">
        <f t="shared" si="26"/>
        <v>-8.9470981273562344E-2</v>
      </c>
      <c r="AT67">
        <f t="shared" si="27"/>
        <v>0.82704941282205291</v>
      </c>
      <c r="AV67">
        <f t="shared" si="29"/>
        <v>-0.29716800082304856</v>
      </c>
      <c r="AW67">
        <f t="shared" si="30"/>
        <v>-2.7577747667024295</v>
      </c>
      <c r="AX67">
        <f t="shared" si="31"/>
        <v>1.1930462087781983</v>
      </c>
      <c r="AY67">
        <f t="shared" si="32"/>
        <v>-6.498715525984311</v>
      </c>
      <c r="AZ67">
        <f t="shared" si="33"/>
        <v>10.128230956274052</v>
      </c>
      <c r="BA67">
        <f t="shared" si="34"/>
        <v>-0.93779059526194075</v>
      </c>
      <c r="BB67">
        <f t="shared" si="35"/>
        <v>41.14856786939265</v>
      </c>
    </row>
    <row r="68" spans="1:54" x14ac:dyDescent="0.25">
      <c r="A68" s="1">
        <v>40725</v>
      </c>
      <c r="B68">
        <v>266730</v>
      </c>
      <c r="C68">
        <v>153627</v>
      </c>
      <c r="D68">
        <v>54628</v>
      </c>
      <c r="E68">
        <v>54708</v>
      </c>
      <c r="F68">
        <v>78932</v>
      </c>
      <c r="G68">
        <v>77958</v>
      </c>
      <c r="H68">
        <f>'[1]Sheet 1'!H68</f>
        <v>282790.35373343702</v>
      </c>
      <c r="I68">
        <f>'[1]Sheet 1'!I68</f>
        <v>50074.773438292497</v>
      </c>
      <c r="J68">
        <f>'[1]Sheet 1'!J68</f>
        <v>195230.99590777</v>
      </c>
      <c r="K68">
        <f>'[1]Sheet 1'!K68</f>
        <v>56620.917520471899</v>
      </c>
      <c r="L68">
        <f>'[1]Sheet 1'!L68</f>
        <v>81025.945798151894</v>
      </c>
      <c r="M68">
        <f>'[1]Sheet 1'!M68</f>
        <v>79288.885922034693</v>
      </c>
      <c r="N68">
        <f t="shared" si="43"/>
        <v>-20873.393009214597</v>
      </c>
      <c r="O68">
        <v>21.28</v>
      </c>
      <c r="P68">
        <v>97.213333333333296</v>
      </c>
      <c r="R68">
        <f t="shared" ref="R68:R99" si="44">((H68-H67)/H67)*100</f>
        <v>-0.61019653289287468</v>
      </c>
      <c r="S68">
        <f t="shared" ref="S68:S99" si="45">((I68-I67)/I67)*100</f>
        <v>-0.41633774486517827</v>
      </c>
      <c r="T68">
        <f t="shared" ref="T68:T99" si="46">((J68-J67)/J67)*100</f>
        <v>-0.56159799968485391</v>
      </c>
      <c r="U68">
        <f t="shared" ref="U68:U99" si="47">((K68-K67)/K67)*100</f>
        <v>-3.7385299135575818E-2</v>
      </c>
      <c r="V68">
        <f t="shared" ref="V68:V99" si="48">((L68-L67)/L67)*100</f>
        <v>0.14783396650230432</v>
      </c>
      <c r="W68">
        <f t="shared" ref="W68:W99" si="49">((M68-M67)/M67)*100</f>
        <v>0.24553209130278339</v>
      </c>
      <c r="X68">
        <f t="shared" ref="X68:X123" si="50">((N68-N67)/N67)*100</f>
        <v>1.5986507912841157</v>
      </c>
      <c r="Y68">
        <f t="shared" ref="Y68:Y124" si="51">((P68-P67)/P67)*100</f>
        <v>5.4892273912411527E-2</v>
      </c>
      <c r="Z68">
        <f t="shared" si="36"/>
        <v>2.046957556247583</v>
      </c>
      <c r="AA68">
        <f t="shared" ref="AA68:AA129" si="52">H67/$H67</f>
        <v>1</v>
      </c>
      <c r="AB68">
        <f t="shared" ref="AB68:AB123" si="53">I67/$H67</f>
        <v>0.17672913019394645</v>
      </c>
      <c r="AC68">
        <f t="shared" ref="AC68:AC129" si="54">J67/$H67</f>
        <v>0.69003619848077002</v>
      </c>
      <c r="AD68">
        <f t="shared" ref="AD68:AD129" si="55">K67/$H67</f>
        <v>0.1990749136368036</v>
      </c>
      <c r="AE68">
        <f t="shared" ref="AE68:AE129" si="56">L67/$H67</f>
        <v>0.28435429289887715</v>
      </c>
      <c r="AF68">
        <f t="shared" ref="AF68:AF129" si="57">M67/$H67</f>
        <v>0.27798702834360517</v>
      </c>
      <c r="AG68">
        <f t="shared" ref="AG68:AG129" si="58">N67/$H67</f>
        <v>-7.2207506866792129E-2</v>
      </c>
      <c r="AJ68">
        <f t="shared" si="18"/>
        <v>-0.25888481604938596</v>
      </c>
      <c r="AK68">
        <f t="shared" si="19"/>
        <v>-0.18101181719658951</v>
      </c>
      <c r="AL68">
        <f t="shared" si="20"/>
        <v>-6.5520329720165693E-2</v>
      </c>
      <c r="AM68">
        <f t="shared" si="21"/>
        <v>-0.4303267142246664</v>
      </c>
      <c r="AN68">
        <f t="shared" si="22"/>
        <v>1.0557509538342565E-2</v>
      </c>
      <c r="AO68">
        <f t="shared" si="23"/>
        <v>0.90806066504839267</v>
      </c>
      <c r="AP68">
        <f t="shared" si="24"/>
        <v>-0.5006441294946895</v>
      </c>
      <c r="AQ68">
        <f t="shared" si="25"/>
        <v>-0.25888481604937585</v>
      </c>
      <c r="AS68">
        <f t="shared" si="26"/>
        <v>-0.67685886114142157</v>
      </c>
      <c r="AT68">
        <f t="shared" si="27"/>
        <v>0.91861817458673523</v>
      </c>
      <c r="AV68">
        <f t="shared" si="29"/>
        <v>-0.84316598036117774</v>
      </c>
      <c r="AW68">
        <f t="shared" si="30"/>
        <v>-2.21997258135253</v>
      </c>
      <c r="AX68">
        <f t="shared" si="31"/>
        <v>0.33287778314355931</v>
      </c>
      <c r="AY68">
        <f t="shared" si="32"/>
        <v>-6.0074353013104087</v>
      </c>
      <c r="AZ68">
        <f t="shared" si="33"/>
        <v>6.8467503466492845</v>
      </c>
      <c r="BA68">
        <f t="shared" si="34"/>
        <v>-0.7748400076133215</v>
      </c>
      <c r="BB68">
        <f t="shared" si="35"/>
        <v>24.502493129862945</v>
      </c>
    </row>
    <row r="69" spans="1:54" x14ac:dyDescent="0.25">
      <c r="A69" s="1">
        <v>40817</v>
      </c>
      <c r="B69">
        <v>263793</v>
      </c>
      <c r="C69">
        <v>152383</v>
      </c>
      <c r="D69">
        <v>54167</v>
      </c>
      <c r="E69">
        <v>52770</v>
      </c>
      <c r="F69">
        <v>79001</v>
      </c>
      <c r="G69">
        <v>77293</v>
      </c>
      <c r="H69">
        <f>'[1]Sheet 1'!H69</f>
        <v>281198.15789960598</v>
      </c>
      <c r="I69">
        <f>'[1]Sheet 1'!I69</f>
        <v>49617.928837344502</v>
      </c>
      <c r="J69">
        <f>'[1]Sheet 1'!J69</f>
        <v>193638.50262957101</v>
      </c>
      <c r="K69">
        <f>'[1]Sheet 1'!K69</f>
        <v>55033.976954420301</v>
      </c>
      <c r="L69">
        <f>'[1]Sheet 1'!L69</f>
        <v>81454.6381159382</v>
      </c>
      <c r="M69">
        <f>'[1]Sheet 1'!M69</f>
        <v>77295.342771143798</v>
      </c>
      <c r="N69">
        <f t="shared" si="43"/>
        <v>-21251.545866524219</v>
      </c>
      <c r="O69">
        <v>22.56</v>
      </c>
      <c r="P69">
        <v>97.56</v>
      </c>
      <c r="R69">
        <f t="shared" si="44"/>
        <v>-0.56303046154532799</v>
      </c>
      <c r="S69">
        <f t="shared" si="45"/>
        <v>-0.91232484858063057</v>
      </c>
      <c r="T69">
        <f t="shared" si="46"/>
        <v>-0.81569694955165273</v>
      </c>
      <c r="U69">
        <f t="shared" si="47"/>
        <v>-2.8027461149456352</v>
      </c>
      <c r="V69">
        <f t="shared" si="48"/>
        <v>0.52908030083875224</v>
      </c>
      <c r="W69">
        <f t="shared" si="49"/>
        <v>-2.514278171156497</v>
      </c>
      <c r="X69">
        <f t="shared" si="50"/>
        <v>1.8116501574166011</v>
      </c>
      <c r="Y69">
        <f t="shared" si="51"/>
        <v>0.35660403236871502</v>
      </c>
      <c r="Z69">
        <f t="shared" si="36"/>
        <v>1.1298849383227982</v>
      </c>
      <c r="AA69">
        <f t="shared" si="52"/>
        <v>1</v>
      </c>
      <c r="AB69">
        <f t="shared" si="53"/>
        <v>0.17707383854222208</v>
      </c>
      <c r="AC69">
        <f t="shared" si="54"/>
        <v>0.69037360479345788</v>
      </c>
      <c r="AD69">
        <f t="shared" si="55"/>
        <v>0.20022223803943376</v>
      </c>
      <c r="AE69">
        <f t="shared" si="56"/>
        <v>0.28652301865476049</v>
      </c>
      <c r="AF69">
        <f t="shared" si="57"/>
        <v>0.28038044747726348</v>
      </c>
      <c r="AG69">
        <f t="shared" si="58"/>
        <v>-7.3812252552610799E-2</v>
      </c>
      <c r="AJ69">
        <f t="shared" ref="AJ69:AJ124" si="59">AA68*R68</f>
        <v>-0.61019653289287468</v>
      </c>
      <c r="AK69">
        <f t="shared" ref="AK69:AK124" si="60">AB68*S68</f>
        <v>-7.3579007516932152E-2</v>
      </c>
      <c r="AL69">
        <f t="shared" ref="AL69:AL124" si="61">AC68*T68</f>
        <v>-0.38752294877694127</v>
      </c>
      <c r="AM69">
        <f t="shared" ref="AM69:AM124" si="62">AD68*U68</f>
        <v>-7.4424751967008245E-3</v>
      </c>
      <c r="AN69">
        <f t="shared" ref="AN69:AN124" si="63">AE68*V68</f>
        <v>4.2037223011199033E-2</v>
      </c>
      <c r="AO69">
        <f t="shared" ref="AO69:AO129" si="64">-AF68*W68</f>
        <v>-6.8254736424251491E-2</v>
      </c>
      <c r="AP69">
        <f t="shared" ref="AP69:AP129" si="65">AG68*X68</f>
        <v>-0.11543458798925045</v>
      </c>
      <c r="AQ69">
        <f t="shared" ref="AQ69:AQ129" si="66">SUM(AK69:AP69)</f>
        <v>-0.61019653289287712</v>
      </c>
      <c r="AS69">
        <f t="shared" ref="AS69:AS129" si="67">SUM(AK69:AM69)</f>
        <v>-0.46854443149057423</v>
      </c>
      <c r="AT69">
        <f t="shared" ref="AT69:AT129" si="68">AN69+AO69</f>
        <v>-2.6217513413052458E-2</v>
      </c>
      <c r="AV69">
        <f t="shared" si="29"/>
        <v>-1.5031400705836593</v>
      </c>
      <c r="AW69">
        <f t="shared" si="30"/>
        <v>-3.256947696036621</v>
      </c>
      <c r="AX69">
        <f t="shared" si="31"/>
        <v>-0.51954935929276858</v>
      </c>
      <c r="AY69">
        <f t="shared" si="32"/>
        <v>-7.5182366419767694</v>
      </c>
      <c r="AZ69">
        <f t="shared" si="33"/>
        <v>3.5437937122218486</v>
      </c>
      <c r="BA69">
        <f t="shared" si="34"/>
        <v>-5.5494383616666285</v>
      </c>
      <c r="BB69">
        <f t="shared" si="35"/>
        <v>26.597913719131522</v>
      </c>
    </row>
    <row r="70" spans="1:54" x14ac:dyDescent="0.25">
      <c r="A70" s="1">
        <v>40909</v>
      </c>
      <c r="B70">
        <v>262730</v>
      </c>
      <c r="C70">
        <v>153167</v>
      </c>
      <c r="D70">
        <v>53182</v>
      </c>
      <c r="E70">
        <v>50622</v>
      </c>
      <c r="F70">
        <v>79522</v>
      </c>
      <c r="G70">
        <v>76593</v>
      </c>
      <c r="H70">
        <f>'[1]Sheet 1'!H70</f>
        <v>278551.555782201</v>
      </c>
      <c r="I70">
        <f>'[1]Sheet 1'!I70</f>
        <v>49579.316945695602</v>
      </c>
      <c r="J70">
        <f>'[1]Sheet 1'!J70</f>
        <v>191120.48394827</v>
      </c>
      <c r="K70">
        <f>'[1]Sheet 1'!K70</f>
        <v>54674.384159783302</v>
      </c>
      <c r="L70">
        <f>'[1]Sheet 1'!L70</f>
        <v>79954.128955448905</v>
      </c>
      <c r="M70">
        <f>'[1]Sheet 1'!M70</f>
        <v>76421.879771233303</v>
      </c>
      <c r="N70">
        <f t="shared" si="43"/>
        <v>-20354.878455763515</v>
      </c>
      <c r="O70">
        <v>24.19</v>
      </c>
      <c r="P70">
        <v>98.286666666666704</v>
      </c>
      <c r="R70">
        <f t="shared" si="44"/>
        <v>-0.94118757291072941</v>
      </c>
      <c r="S70">
        <f t="shared" si="45"/>
        <v>-7.7818426834129706E-2</v>
      </c>
      <c r="T70">
        <f t="shared" si="46"/>
        <v>-1.3003708700009722</v>
      </c>
      <c r="U70">
        <f t="shared" si="47"/>
        <v>-0.65340143405376239</v>
      </c>
      <c r="V70">
        <f t="shared" si="48"/>
        <v>-1.8421408469749139</v>
      </c>
      <c r="W70">
        <f t="shared" si="49"/>
        <v>-1.1300331541275979</v>
      </c>
      <c r="X70">
        <f t="shared" si="50"/>
        <v>-4.2193044044534584</v>
      </c>
      <c r="Y70">
        <f t="shared" si="51"/>
        <v>0.74484078174118706</v>
      </c>
      <c r="Z70">
        <f t="shared" si="36"/>
        <v>1.1595992864004816</v>
      </c>
      <c r="AA70">
        <f t="shared" si="52"/>
        <v>1</v>
      </c>
      <c r="AB70">
        <f t="shared" si="53"/>
        <v>0.17645182745137047</v>
      </c>
      <c r="AC70">
        <f t="shared" si="54"/>
        <v>0.68861938526177779</v>
      </c>
      <c r="AD70">
        <f t="shared" si="55"/>
        <v>0.1957124376827129</v>
      </c>
      <c r="AE70">
        <f t="shared" si="56"/>
        <v>0.28966988519540487</v>
      </c>
      <c r="AF70">
        <f t="shared" si="57"/>
        <v>0.27487855307622588</v>
      </c>
      <c r="AG70">
        <f t="shared" si="58"/>
        <v>-7.5574982515040134E-2</v>
      </c>
      <c r="AJ70">
        <f t="shared" si="59"/>
        <v>-0.56303046154532799</v>
      </c>
      <c r="AK70">
        <f t="shared" si="60"/>
        <v>-0.16154886293562379</v>
      </c>
      <c r="AL70">
        <f t="shared" si="61"/>
        <v>-0.56313564348100187</v>
      </c>
      <c r="AM70">
        <f t="shared" si="62"/>
        <v>-0.56117209979074312</v>
      </c>
      <c r="AN70">
        <f t="shared" si="63"/>
        <v>0.15159368490708811</v>
      </c>
      <c r="AO70">
        <f t="shared" si="64"/>
        <v>0.70495443871117425</v>
      </c>
      <c r="AP70">
        <f t="shared" si="65"/>
        <v>-0.13372197895621127</v>
      </c>
      <c r="AQ70">
        <f t="shared" si="66"/>
        <v>-0.56303046154531766</v>
      </c>
      <c r="AS70">
        <f t="shared" si="67"/>
        <v>-1.2858566062073686</v>
      </c>
      <c r="AT70">
        <f t="shared" si="68"/>
        <v>0.85654812361826238</v>
      </c>
      <c r="AV70">
        <f t="shared" si="29"/>
        <v>-2.353417358741611</v>
      </c>
      <c r="AW70">
        <f t="shared" si="30"/>
        <v>-2.4038581859000874</v>
      </c>
      <c r="AX70">
        <f t="shared" si="31"/>
        <v>-2.7478171010936352</v>
      </c>
      <c r="AY70">
        <f t="shared" si="32"/>
        <v>-5.5215125566292729</v>
      </c>
      <c r="AZ70">
        <f t="shared" si="33"/>
        <v>-1.1401285676895927</v>
      </c>
      <c r="BA70">
        <f t="shared" si="34"/>
        <v>-6.443262333252628</v>
      </c>
      <c r="BB70">
        <f t="shared" si="35"/>
        <v>6.4764545414533972</v>
      </c>
    </row>
    <row r="71" spans="1:54" x14ac:dyDescent="0.25">
      <c r="A71" s="1">
        <v>41000</v>
      </c>
      <c r="B71">
        <v>260020</v>
      </c>
      <c r="C71">
        <v>152118</v>
      </c>
      <c r="D71">
        <v>52361</v>
      </c>
      <c r="E71">
        <v>48871</v>
      </c>
      <c r="F71">
        <v>79748</v>
      </c>
      <c r="G71">
        <v>75897</v>
      </c>
      <c r="H71">
        <f>'[1]Sheet 1'!H71</f>
        <v>275851.59816610999</v>
      </c>
      <c r="I71">
        <f>'[1]Sheet 1'!I71</f>
        <v>48814.2835266478</v>
      </c>
      <c r="J71">
        <f>'[1]Sheet 1'!J71</f>
        <v>188471.65112572099</v>
      </c>
      <c r="K71">
        <f>'[1]Sheet 1'!K71</f>
        <v>52973.987371491799</v>
      </c>
      <c r="L71">
        <f>'[1]Sheet 1'!L71</f>
        <v>80640.707840157207</v>
      </c>
      <c r="M71">
        <f>'[1]Sheet 1'!M71</f>
        <v>74753.6979081764</v>
      </c>
      <c r="N71">
        <f t="shared" si="43"/>
        <v>-20295.333789731383</v>
      </c>
      <c r="O71">
        <v>24.4</v>
      </c>
      <c r="P71">
        <v>99.06</v>
      </c>
      <c r="R71">
        <f t="shared" si="44"/>
        <v>-0.96928470153729818</v>
      </c>
      <c r="S71">
        <f t="shared" si="45"/>
        <v>-1.5430495339129948</v>
      </c>
      <c r="T71">
        <f t="shared" si="46"/>
        <v>-1.3859492022142235</v>
      </c>
      <c r="U71">
        <f t="shared" si="47"/>
        <v>-3.1100428736831729</v>
      </c>
      <c r="V71">
        <f t="shared" si="48"/>
        <v>0.85871598337450405</v>
      </c>
      <c r="W71">
        <f t="shared" si="49"/>
        <v>-2.1828589771025753</v>
      </c>
      <c r="X71">
        <f t="shared" si="50"/>
        <v>-0.29253265334665784</v>
      </c>
      <c r="Y71">
        <f t="shared" si="51"/>
        <v>0.7868140812588662</v>
      </c>
      <c r="Z71">
        <f t="shared" si="36"/>
        <v>1.8996022493485538</v>
      </c>
      <c r="AA71">
        <f t="shared" si="52"/>
        <v>1</v>
      </c>
      <c r="AB71">
        <f t="shared" si="53"/>
        <v>0.1779897326599805</v>
      </c>
      <c r="AC71">
        <f t="shared" si="54"/>
        <v>0.68612247887678934</v>
      </c>
      <c r="AD71">
        <f t="shared" si="55"/>
        <v>0.19628102239907472</v>
      </c>
      <c r="AE71">
        <f t="shared" si="56"/>
        <v>0.28703529847797693</v>
      </c>
      <c r="AF71">
        <f t="shared" si="57"/>
        <v>0.27435452498778157</v>
      </c>
      <c r="AG71">
        <f t="shared" si="58"/>
        <v>-7.3074007426039866E-2</v>
      </c>
      <c r="AJ71">
        <f t="shared" si="59"/>
        <v>-0.94118757291072941</v>
      </c>
      <c r="AK71">
        <f t="shared" si="60"/>
        <v>-1.3731203624272954E-2</v>
      </c>
      <c r="AL71">
        <f t="shared" si="61"/>
        <v>-0.89546058911239268</v>
      </c>
      <c r="AM71">
        <f t="shared" si="62"/>
        <v>-0.12787878744404221</v>
      </c>
      <c r="AN71">
        <f t="shared" si="63"/>
        <v>-0.53361272765698919</v>
      </c>
      <c r="AO71">
        <f t="shared" si="64"/>
        <v>0.31062187833475785</v>
      </c>
      <c r="AP71">
        <f t="shared" si="65"/>
        <v>0.31887385659220197</v>
      </c>
      <c r="AQ71">
        <f t="shared" si="66"/>
        <v>-0.94118757291073707</v>
      </c>
      <c r="AS71">
        <f t="shared" si="67"/>
        <v>-1.0370705801807079</v>
      </c>
      <c r="AT71">
        <f t="shared" si="68"/>
        <v>-0.22299084932223134</v>
      </c>
      <c r="AV71">
        <f t="shared" ref="AV71:AV131" si="69">((H71-H67)/H67)*100</f>
        <v>-3.0488990665478815</v>
      </c>
      <c r="AW71">
        <f t="shared" ref="AW71:AW131" si="70">((I71-I67)/I67)*100</f>
        <v>-2.9230730332817036</v>
      </c>
      <c r="AX71">
        <f t="shared" ref="AX71:AX131" si="71">((J71-J67)/J67)*100</f>
        <v>-4.004383509080351</v>
      </c>
      <c r="AY71">
        <f t="shared" ref="AY71:AY131" si="72">((K71-K67)/K67)*100</f>
        <v>-6.4759364439780187</v>
      </c>
      <c r="AZ71">
        <f t="shared" ref="AZ71:AZ131" si="73">((L71-L67)/L67)*100</f>
        <v>-0.32831903208109792</v>
      </c>
      <c r="BA71">
        <f t="shared" ref="BA71:BA131" si="74">((M71-M67)/M67)*100</f>
        <v>-5.4883400686663499</v>
      </c>
      <c r="BB71">
        <f t="shared" ref="BB71:BB131" si="75">((N71-N67)/N67)*100</f>
        <v>-1.2149807419807817</v>
      </c>
    </row>
    <row r="72" spans="1:54" x14ac:dyDescent="0.25">
      <c r="A72" s="1">
        <v>41091</v>
      </c>
      <c r="B72">
        <v>258818</v>
      </c>
      <c r="C72">
        <v>150732</v>
      </c>
      <c r="D72">
        <v>51783</v>
      </c>
      <c r="E72">
        <v>47143</v>
      </c>
      <c r="F72">
        <v>82335</v>
      </c>
      <c r="G72">
        <v>76009</v>
      </c>
      <c r="H72">
        <f>'[1]Sheet 1'!H72</f>
        <v>274584.89910469198</v>
      </c>
      <c r="I72">
        <f>'[1]Sheet 1'!I72</f>
        <v>48048.637967854404</v>
      </c>
      <c r="J72">
        <f>'[1]Sheet 1'!J72</f>
        <v>186608.31730155801</v>
      </c>
      <c r="K72">
        <f>'[1]Sheet 1'!K72</f>
        <v>51524.3939862919</v>
      </c>
      <c r="L72">
        <f>'[1]Sheet 1'!L72</f>
        <v>83727.688350109805</v>
      </c>
      <c r="M72">
        <f>'[1]Sheet 1'!M72</f>
        <v>74527.359620987496</v>
      </c>
      <c r="N72">
        <f t="shared" si="43"/>
        <v>-20796.778880134625</v>
      </c>
      <c r="O72">
        <v>24.79</v>
      </c>
      <c r="P72">
        <v>100.34666666666701</v>
      </c>
      <c r="R72">
        <f t="shared" si="44"/>
        <v>-0.45919583929879582</v>
      </c>
      <c r="S72">
        <f t="shared" si="45"/>
        <v>-1.568486728634312</v>
      </c>
      <c r="T72">
        <f t="shared" si="46"/>
        <v>-0.9886546931771909</v>
      </c>
      <c r="U72">
        <f t="shared" si="47"/>
        <v>-2.736424908010616</v>
      </c>
      <c r="V72">
        <f t="shared" si="48"/>
        <v>3.8280672288634765</v>
      </c>
      <c r="W72">
        <f t="shared" si="49"/>
        <v>-0.30277871666887529</v>
      </c>
      <c r="X72">
        <f t="shared" si="50"/>
        <v>2.4707407899689375</v>
      </c>
      <c r="Y72">
        <f t="shared" si="51"/>
        <v>1.2988761020260478</v>
      </c>
      <c r="Z72">
        <f t="shared" si="36"/>
        <v>2.856361896952647</v>
      </c>
      <c r="AA72">
        <f t="shared" si="52"/>
        <v>1</v>
      </c>
      <c r="AB72">
        <f t="shared" si="53"/>
        <v>0.17695849453535964</v>
      </c>
      <c r="AC72">
        <f t="shared" si="54"/>
        <v>0.68323566866641361</v>
      </c>
      <c r="AD72">
        <f t="shared" si="55"/>
        <v>0.19203799334014504</v>
      </c>
      <c r="AE72">
        <f t="shared" si="56"/>
        <v>0.29233366192643068</v>
      </c>
      <c r="AF72">
        <f t="shared" si="57"/>
        <v>0.27099244088178837</v>
      </c>
      <c r="AG72">
        <f t="shared" si="58"/>
        <v>-7.3573377586560545E-2</v>
      </c>
      <c r="AJ72">
        <f t="shared" si="59"/>
        <v>-0.96928470153729818</v>
      </c>
      <c r="AK72">
        <f t="shared" si="60"/>
        <v>-0.27464697402228144</v>
      </c>
      <c r="AL72">
        <f t="shared" si="61"/>
        <v>-0.95093090222053156</v>
      </c>
      <c r="AM72">
        <f t="shared" si="62"/>
        <v>-0.61044239495148955</v>
      </c>
      <c r="AN72">
        <f t="shared" si="63"/>
        <v>0.24648179859571023</v>
      </c>
      <c r="AO72">
        <f t="shared" si="64"/>
        <v>0.59887723777829183</v>
      </c>
      <c r="AP72">
        <f t="shared" si="65"/>
        <v>2.1376533283012821E-2</v>
      </c>
      <c r="AQ72">
        <f t="shared" si="66"/>
        <v>-0.96928470153728774</v>
      </c>
      <c r="AS72">
        <f t="shared" si="67"/>
        <v>-1.8360202711943026</v>
      </c>
      <c r="AT72">
        <f t="shared" si="68"/>
        <v>0.845359036374002</v>
      </c>
      <c r="AV72">
        <f t="shared" si="69"/>
        <v>-2.9016034388781295</v>
      </c>
      <c r="AW72">
        <f t="shared" si="70"/>
        <v>-4.0462199453281906</v>
      </c>
      <c r="AX72">
        <f t="shared" si="71"/>
        <v>-4.4166545205175689</v>
      </c>
      <c r="AY72">
        <f t="shared" si="72"/>
        <v>-9.0011320151025398</v>
      </c>
      <c r="AZ72">
        <f t="shared" si="73"/>
        <v>3.3344165567513011</v>
      </c>
      <c r="BA72">
        <f t="shared" si="74"/>
        <v>-6.005288440714426</v>
      </c>
      <c r="BB72">
        <f t="shared" si="75"/>
        <v>-0.36704204748193076</v>
      </c>
    </row>
    <row r="73" spans="1:54" x14ac:dyDescent="0.25">
      <c r="A73" s="1">
        <v>41183</v>
      </c>
      <c r="B73">
        <v>254396</v>
      </c>
      <c r="C73">
        <v>149789</v>
      </c>
      <c r="D73">
        <v>47661</v>
      </c>
      <c r="E73">
        <v>45996</v>
      </c>
      <c r="F73">
        <v>82649</v>
      </c>
      <c r="G73">
        <v>74565</v>
      </c>
      <c r="H73">
        <f>'[1]Sheet 1'!H73</f>
        <v>272308.11552315898</v>
      </c>
      <c r="I73">
        <f>'[1]Sheet 1'!I73</f>
        <v>47478.029549560502</v>
      </c>
      <c r="J73">
        <f>'[1]Sheet 1'!J73</f>
        <v>185198.22684002999</v>
      </c>
      <c r="K73">
        <f>'[1]Sheet 1'!K73</f>
        <v>50743.041390346698</v>
      </c>
      <c r="L73">
        <f>'[1]Sheet 1'!L73</f>
        <v>83006.001784619293</v>
      </c>
      <c r="M73">
        <f>'[1]Sheet 1'!M73</f>
        <v>73048.801489141304</v>
      </c>
      <c r="N73">
        <f t="shared" si="43"/>
        <v>-21068.382552256211</v>
      </c>
      <c r="O73">
        <v>25.77</v>
      </c>
      <c r="P73">
        <v>100.443333333333</v>
      </c>
      <c r="R73">
        <f t="shared" si="44"/>
        <v>-0.82917290388388254</v>
      </c>
      <c r="S73">
        <f t="shared" si="45"/>
        <v>-1.1875641900102367</v>
      </c>
      <c r="T73">
        <f t="shared" si="46"/>
        <v>-0.75564180735273312</v>
      </c>
      <c r="U73">
        <f t="shared" si="47"/>
        <v>-1.5164712003271328</v>
      </c>
      <c r="V73">
        <f t="shared" si="48"/>
        <v>-0.86194493089640623</v>
      </c>
      <c r="W73">
        <f t="shared" si="49"/>
        <v>-1.9839132090087062</v>
      </c>
      <c r="X73">
        <f t="shared" si="50"/>
        <v>1.3059891326777804</v>
      </c>
      <c r="Y73">
        <f t="shared" si="51"/>
        <v>9.633271326002768E-2</v>
      </c>
      <c r="Z73">
        <f t="shared" ref="Z73:Z123" si="76">((P73-P70)/P70)*100</f>
        <v>2.1942616835104416</v>
      </c>
      <c r="AA73">
        <f t="shared" si="52"/>
        <v>1</v>
      </c>
      <c r="AB73">
        <f t="shared" si="53"/>
        <v>0.1749864545520208</v>
      </c>
      <c r="AC73">
        <f t="shared" si="54"/>
        <v>0.67960152910815819</v>
      </c>
      <c r="AD73">
        <f t="shared" si="55"/>
        <v>0.1876446743950293</v>
      </c>
      <c r="AE73">
        <f t="shared" si="56"/>
        <v>0.30492459207739114</v>
      </c>
      <c r="AF73">
        <f t="shared" si="57"/>
        <v>0.27141827487232711</v>
      </c>
      <c r="AG73">
        <f t="shared" si="58"/>
        <v>-7.5738975260272276E-2</v>
      </c>
      <c r="AJ73">
        <f t="shared" si="59"/>
        <v>-0.45919583929879582</v>
      </c>
      <c r="AK73">
        <f t="shared" si="60"/>
        <v>-0.27755705019781901</v>
      </c>
      <c r="AL73">
        <f t="shared" si="61"/>
        <v>-0.67548415037310605</v>
      </c>
      <c r="AM73">
        <f t="shared" si="62"/>
        <v>-0.52549754826034967</v>
      </c>
      <c r="AN73">
        <f t="shared" si="63"/>
        <v>1.1190729111142239</v>
      </c>
      <c r="AO73">
        <f t="shared" si="64"/>
        <v>8.2050743477153937E-2</v>
      </c>
      <c r="AP73">
        <f t="shared" si="65"/>
        <v>-0.18178074505890152</v>
      </c>
      <c r="AQ73">
        <f t="shared" si="66"/>
        <v>-0.45919583929879837</v>
      </c>
      <c r="AS73">
        <f t="shared" si="67"/>
        <v>-1.4785387488312747</v>
      </c>
      <c r="AT73">
        <f t="shared" si="68"/>
        <v>1.2011236545913779</v>
      </c>
      <c r="AV73">
        <f t="shared" si="69"/>
        <v>-3.1614867049096911</v>
      </c>
      <c r="AW73">
        <f t="shared" si="70"/>
        <v>-4.3127541554564495</v>
      </c>
      <c r="AX73">
        <f t="shared" si="71"/>
        <v>-4.3587797235176939</v>
      </c>
      <c r="AY73">
        <f t="shared" si="72"/>
        <v>-7.7968844003903248</v>
      </c>
      <c r="AZ73">
        <f t="shared" si="73"/>
        <v>1.9045737659198296</v>
      </c>
      <c r="BA73">
        <f t="shared" si="74"/>
        <v>-5.4939161012270326</v>
      </c>
      <c r="BB73">
        <f t="shared" si="75"/>
        <v>-0.86188230926075526</v>
      </c>
    </row>
    <row r="74" spans="1:54" x14ac:dyDescent="0.25">
      <c r="A74" s="1">
        <v>41275</v>
      </c>
      <c r="B74">
        <v>257197</v>
      </c>
      <c r="C74">
        <v>148295</v>
      </c>
      <c r="D74">
        <v>50713</v>
      </c>
      <c r="E74">
        <v>45263</v>
      </c>
      <c r="F74">
        <v>83453</v>
      </c>
      <c r="G74">
        <v>73355</v>
      </c>
      <c r="H74">
        <f>'[1]Sheet 1'!H74</f>
        <v>271559.72702041297</v>
      </c>
      <c r="I74">
        <f>'[1]Sheet 1'!I74</f>
        <v>46886.137503186903</v>
      </c>
      <c r="J74">
        <f>'[1]Sheet 1'!J74</f>
        <v>183389.55244577801</v>
      </c>
      <c r="K74">
        <f>'[1]Sheet 1'!K74</f>
        <v>51002.719234095297</v>
      </c>
      <c r="L74">
        <f>'[1]Sheet 1'!L74</f>
        <v>83743.607273993897</v>
      </c>
      <c r="M74">
        <f>'[1]Sheet 1'!M74</f>
        <v>72531.036303274203</v>
      </c>
      <c r="N74">
        <f t="shared" si="43"/>
        <v>-20931.253133366896</v>
      </c>
      <c r="O74">
        <v>26.94</v>
      </c>
      <c r="P74">
        <v>100.566666666667</v>
      </c>
      <c r="R74">
        <f t="shared" si="44"/>
        <v>-0.27483150889873398</v>
      </c>
      <c r="S74">
        <f t="shared" si="45"/>
        <v>-1.2466651459402838</v>
      </c>
      <c r="T74">
        <f t="shared" si="46"/>
        <v>-0.97661539481923554</v>
      </c>
      <c r="U74">
        <f t="shared" si="47"/>
        <v>0.51175064921906699</v>
      </c>
      <c r="V74">
        <f t="shared" si="48"/>
        <v>0.88861705601543572</v>
      </c>
      <c r="W74">
        <f t="shared" si="49"/>
        <v>-0.70879353981470494</v>
      </c>
      <c r="X74">
        <f t="shared" si="50"/>
        <v>-0.65087777169980277</v>
      </c>
      <c r="Y74">
        <f t="shared" si="51"/>
        <v>0.12278896890519014</v>
      </c>
      <c r="Z74">
        <f t="shared" si="76"/>
        <v>1.5209637256884732</v>
      </c>
      <c r="AA74">
        <f t="shared" si="52"/>
        <v>1</v>
      </c>
      <c r="AB74">
        <f t="shared" si="53"/>
        <v>0.17435407482566431</v>
      </c>
      <c r="AC74">
        <f t="shared" si="54"/>
        <v>0.68010542573887944</v>
      </c>
      <c r="AD74">
        <f t="shared" si="55"/>
        <v>0.18634421266828222</v>
      </c>
      <c r="AE74">
        <f t="shared" si="56"/>
        <v>0.30482382658756962</v>
      </c>
      <c r="AF74">
        <f t="shared" si="57"/>
        <v>0.26825789363199765</v>
      </c>
      <c r="AG74">
        <f t="shared" si="58"/>
        <v>-7.7369646188397964E-2</v>
      </c>
      <c r="AJ74">
        <f t="shared" si="59"/>
        <v>-0.82917290388388254</v>
      </c>
      <c r="AK74">
        <f t="shared" si="60"/>
        <v>-0.20780764716283368</v>
      </c>
      <c r="AL74">
        <f t="shared" si="61"/>
        <v>-0.51353532773496968</v>
      </c>
      <c r="AM74">
        <f t="shared" si="62"/>
        <v>-0.28455774461482408</v>
      </c>
      <c r="AN74">
        <f t="shared" si="63"/>
        <v>-0.26282820644676175</v>
      </c>
      <c r="AO74">
        <f t="shared" si="64"/>
        <v>0.53847030068556556</v>
      </c>
      <c r="AP74">
        <f t="shared" si="65"/>
        <v>-9.8914278610066853E-2</v>
      </c>
      <c r="AQ74">
        <f t="shared" si="66"/>
        <v>-0.82917290388389031</v>
      </c>
      <c r="AS74">
        <f t="shared" si="67"/>
        <v>-1.0059007195126273</v>
      </c>
      <c r="AT74">
        <f t="shared" si="68"/>
        <v>0.27564209423880381</v>
      </c>
      <c r="AV74">
        <f t="shared" si="69"/>
        <v>-2.5100663114784134</v>
      </c>
      <c r="AW74">
        <f t="shared" si="70"/>
        <v>-5.4320624171941461</v>
      </c>
      <c r="AX74">
        <f t="shared" si="71"/>
        <v>-4.0450564705479186</v>
      </c>
      <c r="AY74">
        <f t="shared" si="72"/>
        <v>-6.7155121765207948</v>
      </c>
      <c r="AZ74">
        <f t="shared" si="73"/>
        <v>4.7395655084386208</v>
      </c>
      <c r="BA74">
        <f t="shared" si="74"/>
        <v>-5.0912689920821483</v>
      </c>
      <c r="BB74">
        <f t="shared" si="75"/>
        <v>2.831629178508698</v>
      </c>
    </row>
    <row r="75" spans="1:54" x14ac:dyDescent="0.25">
      <c r="A75" s="1">
        <v>41365</v>
      </c>
      <c r="B75">
        <v>256492</v>
      </c>
      <c r="C75">
        <v>147707</v>
      </c>
      <c r="D75">
        <v>50577</v>
      </c>
      <c r="E75">
        <v>44241</v>
      </c>
      <c r="F75">
        <v>84266</v>
      </c>
      <c r="G75">
        <v>73126</v>
      </c>
      <c r="H75">
        <f>'[1]Sheet 1'!H75</f>
        <v>271281.09274949302</v>
      </c>
      <c r="I75">
        <f>'[1]Sheet 1'!I75</f>
        <v>46994.957114894903</v>
      </c>
      <c r="J75">
        <f>'[1]Sheet 1'!J75</f>
        <v>183734.091099488</v>
      </c>
      <c r="K75">
        <f>'[1]Sheet 1'!K75</f>
        <v>50396.163269742799</v>
      </c>
      <c r="L75">
        <f>'[1]Sheet 1'!L75</f>
        <v>85366.821220746395</v>
      </c>
      <c r="M75">
        <f>'[1]Sheet 1'!M75</f>
        <v>73839.186562829302</v>
      </c>
      <c r="N75">
        <f t="shared" si="43"/>
        <v>-21371.753392549799</v>
      </c>
      <c r="O75">
        <v>26.06</v>
      </c>
      <c r="P75">
        <v>101.02</v>
      </c>
      <c r="R75">
        <f t="shared" si="44"/>
        <v>-0.10260515208833149</v>
      </c>
      <c r="S75">
        <f t="shared" si="45"/>
        <v>0.23209335957905258</v>
      </c>
      <c r="T75">
        <f t="shared" si="46"/>
        <v>0.18787256368481087</v>
      </c>
      <c r="U75">
        <f t="shared" si="47"/>
        <v>-1.1892620108517962</v>
      </c>
      <c r="V75">
        <f t="shared" si="48"/>
        <v>1.9383138601154783</v>
      </c>
      <c r="W75">
        <f t="shared" si="49"/>
        <v>1.8035730995009189</v>
      </c>
      <c r="X75">
        <f t="shared" si="50"/>
        <v>2.1045097318167434</v>
      </c>
      <c r="Y75">
        <f t="shared" si="51"/>
        <v>0.45077891945607285</v>
      </c>
      <c r="Z75">
        <f t="shared" si="76"/>
        <v>0.67100717512588559</v>
      </c>
      <c r="AA75">
        <f t="shared" si="52"/>
        <v>1</v>
      </c>
      <c r="AB75">
        <f t="shared" si="53"/>
        <v>0.17265497361345669</v>
      </c>
      <c r="AC75">
        <f t="shared" si="54"/>
        <v>0.67531940195238427</v>
      </c>
      <c r="AD75">
        <f t="shared" si="55"/>
        <v>0.18781400244323215</v>
      </c>
      <c r="AE75">
        <f t="shared" si="56"/>
        <v>0.30838006869736961</v>
      </c>
      <c r="AF75">
        <f t="shared" si="57"/>
        <v>0.26709054799507176</v>
      </c>
      <c r="AG75">
        <f t="shared" si="58"/>
        <v>-7.7077898711370801E-2</v>
      </c>
      <c r="AJ75">
        <f t="shared" si="59"/>
        <v>-0.27483150889873398</v>
      </c>
      <c r="AK75">
        <f t="shared" si="60"/>
        <v>-0.21736114813781995</v>
      </c>
      <c r="AL75">
        <f t="shared" si="61"/>
        <v>-0.66420142887667999</v>
      </c>
      <c r="AM75">
        <f t="shared" si="62"/>
        <v>9.5361771811209306E-2</v>
      </c>
      <c r="AN75">
        <f t="shared" si="63"/>
        <v>0.27087165138560582</v>
      </c>
      <c r="AO75">
        <f t="shared" si="64"/>
        <v>0.1901394620106602</v>
      </c>
      <c r="AP75">
        <f t="shared" si="65"/>
        <v>5.0358182908306605E-2</v>
      </c>
      <c r="AQ75">
        <f t="shared" si="66"/>
        <v>-0.27483150889871788</v>
      </c>
      <c r="AS75">
        <f t="shared" si="67"/>
        <v>-0.78620080520329061</v>
      </c>
      <c r="AT75">
        <f t="shared" si="68"/>
        <v>0.46101111339626599</v>
      </c>
      <c r="AV75">
        <f t="shared" si="69"/>
        <v>-1.6568711027966361</v>
      </c>
      <c r="AW75">
        <f t="shared" si="70"/>
        <v>-3.7270370070262793</v>
      </c>
      <c r="AX75">
        <f t="shared" si="71"/>
        <v>-2.5136724796201753</v>
      </c>
      <c r="AY75">
        <f t="shared" si="72"/>
        <v>-4.8662074154838271</v>
      </c>
      <c r="AZ75">
        <f t="shared" si="73"/>
        <v>5.860704236323298</v>
      </c>
      <c r="BA75">
        <f t="shared" si="74"/>
        <v>-1.2233660286216708</v>
      </c>
      <c r="BB75">
        <f t="shared" si="75"/>
        <v>5.3037787600371509</v>
      </c>
    </row>
    <row r="76" spans="1:54" x14ac:dyDescent="0.25">
      <c r="A76" s="1">
        <v>41456</v>
      </c>
      <c r="B76">
        <v>256110</v>
      </c>
      <c r="C76">
        <v>148420</v>
      </c>
      <c r="D76">
        <v>50558</v>
      </c>
      <c r="E76">
        <v>44817</v>
      </c>
      <c r="F76">
        <v>84286</v>
      </c>
      <c r="G76">
        <v>74815</v>
      </c>
      <c r="H76">
        <f>'[1]Sheet 1'!H76</f>
        <v>271110.01638862398</v>
      </c>
      <c r="I76">
        <f>'[1]Sheet 1'!I76</f>
        <v>46976.074958125202</v>
      </c>
      <c r="J76">
        <f>'[1]Sheet 1'!J76</f>
        <v>183404.29206732701</v>
      </c>
      <c r="K76">
        <f>'[1]Sheet 1'!K76</f>
        <v>51445.1382281099</v>
      </c>
      <c r="L76">
        <f>'[1]Sheet 1'!L76</f>
        <v>86135.059882568195</v>
      </c>
      <c r="M76">
        <f>'[1]Sheet 1'!M76</f>
        <v>75249.794146751301</v>
      </c>
      <c r="N76">
        <f t="shared" si="43"/>
        <v>-21600.754600755034</v>
      </c>
      <c r="O76">
        <v>25.65</v>
      </c>
      <c r="P76">
        <v>101.066666666667</v>
      </c>
      <c r="R76">
        <f t="shared" si="44"/>
        <v>-6.306239743254885E-2</v>
      </c>
      <c r="S76">
        <f t="shared" si="45"/>
        <v>-4.0179112672744106E-2</v>
      </c>
      <c r="T76">
        <f t="shared" si="46"/>
        <v>-0.17949800724918502</v>
      </c>
      <c r="U76">
        <f t="shared" si="47"/>
        <v>2.0814579728074079</v>
      </c>
      <c r="V76">
        <f t="shared" si="48"/>
        <v>0.89992651809682034</v>
      </c>
      <c r="W76">
        <f t="shared" si="49"/>
        <v>1.9103780114393893</v>
      </c>
      <c r="X76">
        <f t="shared" si="50"/>
        <v>1.0715134317667372</v>
      </c>
      <c r="Y76">
        <f t="shared" si="51"/>
        <v>4.6195472843999129E-2</v>
      </c>
      <c r="Z76">
        <f t="shared" si="76"/>
        <v>0.62058208608569165</v>
      </c>
      <c r="AA76">
        <f t="shared" si="52"/>
        <v>1</v>
      </c>
      <c r="AB76">
        <f t="shared" si="53"/>
        <v>0.17323344077757416</v>
      </c>
      <c r="AC76">
        <f t="shared" si="54"/>
        <v>0.677283069149062</v>
      </c>
      <c r="AD76">
        <f t="shared" si="55"/>
        <v>0.18577101249101696</v>
      </c>
      <c r="AE76">
        <f t="shared" si="56"/>
        <v>0.31468032053223854</v>
      </c>
      <c r="AF76">
        <f t="shared" si="57"/>
        <v>0.27218699915446759</v>
      </c>
      <c r="AG76">
        <f t="shared" si="58"/>
        <v>-7.8780843795424216E-2</v>
      </c>
      <c r="AJ76">
        <f t="shared" si="59"/>
        <v>-0.10260515208833149</v>
      </c>
      <c r="AK76">
        <f t="shared" si="60"/>
        <v>4.007207287397984E-2</v>
      </c>
      <c r="AL76">
        <f t="shared" si="61"/>
        <v>0.1268739873508877</v>
      </c>
      <c r="AM76">
        <f t="shared" si="62"/>
        <v>-0.22336005821176244</v>
      </c>
      <c r="AN76">
        <f t="shared" si="63"/>
        <v>0.59773736133947486</v>
      </c>
      <c r="AO76">
        <f t="shared" si="64"/>
        <v>-0.48171732749487051</v>
      </c>
      <c r="AP76">
        <f t="shared" si="65"/>
        <v>-0.16221118794606507</v>
      </c>
      <c r="AQ76">
        <f t="shared" si="66"/>
        <v>-0.10260515208835555</v>
      </c>
      <c r="AS76">
        <f t="shared" si="67"/>
        <v>-5.6413997986894893E-2</v>
      </c>
      <c r="AT76">
        <f t="shared" si="68"/>
        <v>0.11602003384460435</v>
      </c>
      <c r="AV76">
        <f t="shared" si="69"/>
        <v>-1.2655039397279919</v>
      </c>
      <c r="AW76">
        <f t="shared" si="70"/>
        <v>-2.2322443571590309</v>
      </c>
      <c r="AX76">
        <f t="shared" si="71"/>
        <v>-1.7169787931013334</v>
      </c>
      <c r="AY76">
        <f t="shared" si="72"/>
        <v>-0.1538218153581509</v>
      </c>
      <c r="AZ76">
        <f t="shared" si="73"/>
        <v>2.8752394576951592</v>
      </c>
      <c r="BA76">
        <f t="shared" si="74"/>
        <v>0.96935478385089846</v>
      </c>
      <c r="BB76">
        <f t="shared" si="75"/>
        <v>3.8658665616163157</v>
      </c>
    </row>
    <row r="77" spans="1:54" x14ac:dyDescent="0.25">
      <c r="A77" s="1">
        <v>41548</v>
      </c>
      <c r="B77">
        <v>255853</v>
      </c>
      <c r="C77">
        <v>149373</v>
      </c>
      <c r="D77">
        <v>50683</v>
      </c>
      <c r="E77">
        <v>44269</v>
      </c>
      <c r="F77">
        <v>83952</v>
      </c>
      <c r="G77">
        <v>75254</v>
      </c>
      <c r="H77">
        <f>'[1]Sheet 1'!H77</f>
        <v>271625.78620926302</v>
      </c>
      <c r="I77">
        <f>'[1]Sheet 1'!I77</f>
        <v>47348.350098827497</v>
      </c>
      <c r="J77">
        <f>'[1]Sheet 1'!J77</f>
        <v>183803.69486791399</v>
      </c>
      <c r="K77">
        <f>'[1]Sheet 1'!K77</f>
        <v>52140.851897690503</v>
      </c>
      <c r="L77">
        <f>'[1]Sheet 1'!L77</f>
        <v>86123.959659967906</v>
      </c>
      <c r="M77">
        <f>'[1]Sheet 1'!M77</f>
        <v>76298.652965310699</v>
      </c>
      <c r="N77">
        <f t="shared" si="43"/>
        <v>-21492.417349826152</v>
      </c>
      <c r="O77">
        <v>25.73</v>
      </c>
      <c r="P77">
        <v>100.73666666666701</v>
      </c>
      <c r="R77">
        <f t="shared" si="44"/>
        <v>0.19024373481639129</v>
      </c>
      <c r="S77">
        <f t="shared" si="45"/>
        <v>0.79247817327042291</v>
      </c>
      <c r="T77">
        <f t="shared" si="46"/>
        <v>0.21777178499200966</v>
      </c>
      <c r="U77">
        <f t="shared" si="47"/>
        <v>1.3523409471576893</v>
      </c>
      <c r="V77">
        <f t="shared" si="48"/>
        <v>-1.2886997020055137E-2</v>
      </c>
      <c r="W77">
        <f t="shared" si="49"/>
        <v>1.3938361299885091</v>
      </c>
      <c r="X77">
        <f t="shared" si="50"/>
        <v>-0.50154382534902353</v>
      </c>
      <c r="Y77">
        <f t="shared" si="51"/>
        <v>-0.32651715039577561</v>
      </c>
      <c r="Z77">
        <f t="shared" si="76"/>
        <v>0.16904209479615626</v>
      </c>
      <c r="AA77">
        <f t="shared" si="52"/>
        <v>1</v>
      </c>
      <c r="AB77">
        <f t="shared" si="53"/>
        <v>0.17327310729378259</v>
      </c>
      <c r="AC77">
        <f t="shared" si="54"/>
        <v>0.67649397285427193</v>
      </c>
      <c r="AD77">
        <f t="shared" si="55"/>
        <v>0.18975742362231876</v>
      </c>
      <c r="AE77">
        <f t="shared" si="56"/>
        <v>0.31771256934711506</v>
      </c>
      <c r="AF77">
        <f t="shared" si="57"/>
        <v>0.27756183688500874</v>
      </c>
      <c r="AG77">
        <f t="shared" si="58"/>
        <v>-7.9675236232479615E-2</v>
      </c>
      <c r="AJ77">
        <f t="shared" si="59"/>
        <v>-6.306239743254885E-2</v>
      </c>
      <c r="AK77">
        <f t="shared" si="60"/>
        <v>-6.9603659356892956E-3</v>
      </c>
      <c r="AL77">
        <f t="shared" si="61"/>
        <v>-0.12157096125586861</v>
      </c>
      <c r="AM77">
        <f t="shared" si="62"/>
        <v>0.38667455506593179</v>
      </c>
      <c r="AN77">
        <f t="shared" si="63"/>
        <v>0.28318916517016879</v>
      </c>
      <c r="AO77">
        <f t="shared" si="64"/>
        <v>-0.51998005818436654</v>
      </c>
      <c r="AP77">
        <f t="shared" si="65"/>
        <v>-8.4414732292714262E-2</v>
      </c>
      <c r="AQ77">
        <f t="shared" si="66"/>
        <v>-6.3062397432538192E-2</v>
      </c>
      <c r="AS77">
        <f t="shared" si="67"/>
        <v>0.25814322787437388</v>
      </c>
      <c r="AT77">
        <f t="shared" si="68"/>
        <v>-0.23679089301419776</v>
      </c>
      <c r="AV77">
        <f t="shared" si="69"/>
        <v>-0.25057252244761913</v>
      </c>
      <c r="AW77">
        <f t="shared" si="70"/>
        <v>-0.27313570500569667</v>
      </c>
      <c r="AX77">
        <f t="shared" si="71"/>
        <v>-0.7529942353716863</v>
      </c>
      <c r="AY77">
        <f t="shared" si="72"/>
        <v>2.7546841281959966</v>
      </c>
      <c r="AZ77">
        <f t="shared" si="73"/>
        <v>3.7563041326083471</v>
      </c>
      <c r="BA77">
        <f t="shared" si="74"/>
        <v>4.4488772025267043</v>
      </c>
      <c r="BB77">
        <f t="shared" si="75"/>
        <v>2.0126594745382138</v>
      </c>
    </row>
    <row r="78" spans="1:54" x14ac:dyDescent="0.25">
      <c r="A78" s="1">
        <v>41640</v>
      </c>
      <c r="B78">
        <v>257703</v>
      </c>
      <c r="C78">
        <v>149627</v>
      </c>
      <c r="D78">
        <v>50509</v>
      </c>
      <c r="E78">
        <v>46833</v>
      </c>
      <c r="F78">
        <v>84285</v>
      </c>
      <c r="G78">
        <v>76409</v>
      </c>
      <c r="H78">
        <f>'[1]Sheet 1'!H78</f>
        <v>272652.52667870402</v>
      </c>
      <c r="I78">
        <f>'[1]Sheet 1'!I78</f>
        <v>47399.769837462401</v>
      </c>
      <c r="J78">
        <f>'[1]Sheet 1'!J78</f>
        <v>183170.505292202</v>
      </c>
      <c r="K78">
        <f>'[1]Sheet 1'!K78</f>
        <v>53809.975754094201</v>
      </c>
      <c r="L78">
        <f>'[1]Sheet 1'!L78</f>
        <v>86949.592496009602</v>
      </c>
      <c r="M78">
        <f>'[1]Sheet 1'!M78</f>
        <v>77891.852093775</v>
      </c>
      <c r="N78">
        <f t="shared" si="43"/>
        <v>-20785.464607289177</v>
      </c>
      <c r="O78">
        <v>25.93</v>
      </c>
      <c r="P78">
        <v>100.62333333333299</v>
      </c>
      <c r="R78">
        <f t="shared" si="44"/>
        <v>0.37799815833758216</v>
      </c>
      <c r="S78">
        <f t="shared" si="45"/>
        <v>0.10859879705962031</v>
      </c>
      <c r="T78">
        <f t="shared" si="46"/>
        <v>-0.34449229987842134</v>
      </c>
      <c r="U78">
        <f t="shared" si="47"/>
        <v>3.2011825577357489</v>
      </c>
      <c r="V78">
        <f t="shared" si="48"/>
        <v>0.95865638238352602</v>
      </c>
      <c r="W78">
        <f t="shared" si="49"/>
        <v>2.0881091166690076</v>
      </c>
      <c r="X78">
        <f t="shared" si="50"/>
        <v>-3.2893123701726958</v>
      </c>
      <c r="Y78">
        <f t="shared" si="51"/>
        <v>-0.11250454981702605</v>
      </c>
      <c r="Z78">
        <f t="shared" si="76"/>
        <v>-0.39266151917145342</v>
      </c>
      <c r="AA78">
        <f t="shared" si="52"/>
        <v>1</v>
      </c>
      <c r="AB78">
        <f t="shared" si="53"/>
        <v>0.17431463617504225</v>
      </c>
      <c r="AC78">
        <f t="shared" si="54"/>
        <v>0.67667984484473764</v>
      </c>
      <c r="AD78">
        <f t="shared" si="55"/>
        <v>0.19195840212873128</v>
      </c>
      <c r="AE78">
        <f t="shared" si="56"/>
        <v>0.31706842292806919</v>
      </c>
      <c r="AF78">
        <f t="shared" si="57"/>
        <v>0.28089620661614767</v>
      </c>
      <c r="AG78">
        <f t="shared" si="58"/>
        <v>-7.9125099460432655E-2</v>
      </c>
      <c r="AJ78">
        <f t="shared" si="59"/>
        <v>0.19024373481639129</v>
      </c>
      <c r="AK78">
        <f t="shared" si="60"/>
        <v>0.13731515554506682</v>
      </c>
      <c r="AL78">
        <f t="shared" si="61"/>
        <v>0.14732130000481092</v>
      </c>
      <c r="AM78">
        <f t="shared" si="62"/>
        <v>0.25661673399160945</v>
      </c>
      <c r="AN78">
        <f t="shared" si="63"/>
        <v>-4.094360934410333E-3</v>
      </c>
      <c r="AO78">
        <f t="shared" si="64"/>
        <v>-0.38687571655630243</v>
      </c>
      <c r="AP78">
        <f t="shared" si="65"/>
        <v>3.9960622765624947E-2</v>
      </c>
      <c r="AQ78">
        <f t="shared" si="66"/>
        <v>0.19024373481639939</v>
      </c>
      <c r="AS78">
        <f t="shared" si="67"/>
        <v>0.54125318954148716</v>
      </c>
      <c r="AT78">
        <f t="shared" si="68"/>
        <v>-0.39097007749071278</v>
      </c>
      <c r="AV78">
        <f t="shared" si="69"/>
        <v>0.40241595109899964</v>
      </c>
      <c r="AW78">
        <f t="shared" si="70"/>
        <v>1.0954886916001267</v>
      </c>
      <c r="AX78">
        <f t="shared" si="71"/>
        <v>-0.11944363823058021</v>
      </c>
      <c r="AY78">
        <f t="shared" si="72"/>
        <v>5.5041310780195696</v>
      </c>
      <c r="AZ78">
        <f t="shared" si="73"/>
        <v>3.8283342769392563</v>
      </c>
      <c r="BA78">
        <f t="shared" si="74"/>
        <v>7.3910646582872541</v>
      </c>
      <c r="BB78">
        <f t="shared" si="75"/>
        <v>-0.69651121769347979</v>
      </c>
    </row>
    <row r="79" spans="1:54" x14ac:dyDescent="0.25">
      <c r="A79" s="1">
        <v>41730</v>
      </c>
      <c r="B79">
        <v>258585</v>
      </c>
      <c r="C79">
        <v>151016</v>
      </c>
      <c r="D79">
        <v>50429</v>
      </c>
      <c r="E79">
        <v>47078</v>
      </c>
      <c r="F79">
        <v>85206</v>
      </c>
      <c r="G79">
        <v>78041</v>
      </c>
      <c r="H79">
        <f>'[1]Sheet 1'!H79</f>
        <v>274125.02552077099</v>
      </c>
      <c r="I79">
        <f>'[1]Sheet 1'!I79</f>
        <v>47718.647557274802</v>
      </c>
      <c r="J79">
        <f>'[1]Sheet 1'!J79</f>
        <v>182380.093086632</v>
      </c>
      <c r="K79">
        <f>'[1]Sheet 1'!K79</f>
        <v>54051.319210094996</v>
      </c>
      <c r="L79">
        <f>'[1]Sheet 1'!L79</f>
        <v>88145.576945008404</v>
      </c>
      <c r="M79">
        <f>'[1]Sheet 1'!M79</f>
        <v>79032.129339024104</v>
      </c>
      <c r="N79">
        <f t="shared" si="43"/>
        <v>-19138.481939215068</v>
      </c>
      <c r="O79">
        <v>24.47</v>
      </c>
      <c r="P79">
        <v>100.98666666666701</v>
      </c>
      <c r="R79">
        <f t="shared" si="44"/>
        <v>0.54006425687819637</v>
      </c>
      <c r="S79">
        <f t="shared" si="45"/>
        <v>0.67274107217367929</v>
      </c>
      <c r="T79">
        <f t="shared" si="46"/>
        <v>-0.43151718357117441</v>
      </c>
      <c r="U79">
        <f t="shared" si="47"/>
        <v>0.4485106202309197</v>
      </c>
      <c r="V79">
        <f t="shared" si="48"/>
        <v>1.3754917241891504</v>
      </c>
      <c r="W79">
        <f t="shared" si="49"/>
        <v>1.4639236513163278</v>
      </c>
      <c r="X79">
        <f t="shared" si="50"/>
        <v>-7.9237231362946563</v>
      </c>
      <c r="Y79">
        <f t="shared" si="51"/>
        <v>0.36108258521947834</v>
      </c>
      <c r="Z79">
        <f t="shared" si="76"/>
        <v>-7.9155672823217046E-2</v>
      </c>
      <c r="AA79">
        <f t="shared" si="52"/>
        <v>1</v>
      </c>
      <c r="AB79">
        <f t="shared" si="53"/>
        <v>0.17384680206290068</v>
      </c>
      <c r="AC79">
        <f t="shared" si="54"/>
        <v>0.67180930807236428</v>
      </c>
      <c r="AD79">
        <f t="shared" si="55"/>
        <v>0.19735733392819177</v>
      </c>
      <c r="AE79">
        <f t="shared" si="56"/>
        <v>0.31890257374534337</v>
      </c>
      <c r="AF79">
        <f t="shared" si="57"/>
        <v>0.28568175414550034</v>
      </c>
      <c r="AG79">
        <f t="shared" si="58"/>
        <v>-7.6234263663299703E-2</v>
      </c>
      <c r="AJ79">
        <f t="shared" si="59"/>
        <v>0.37799815833758216</v>
      </c>
      <c r="AK79">
        <f t="shared" si="60"/>
        <v>1.8930359798494962E-2</v>
      </c>
      <c r="AL79">
        <f t="shared" si="61"/>
        <v>-0.233110996031937</v>
      </c>
      <c r="AM79">
        <f t="shared" si="62"/>
        <v>0.6144938887053194</v>
      </c>
      <c r="AN79">
        <f t="shared" si="63"/>
        <v>0.30395966729227264</v>
      </c>
      <c r="AO79">
        <f t="shared" si="64"/>
        <v>-0.5865419298729192</v>
      </c>
      <c r="AP79">
        <f t="shared" si="65"/>
        <v>0.26026716844634601</v>
      </c>
      <c r="AQ79">
        <f t="shared" si="66"/>
        <v>0.37799815833757677</v>
      </c>
      <c r="AS79">
        <f t="shared" si="67"/>
        <v>0.40031325247187738</v>
      </c>
      <c r="AT79">
        <f t="shared" si="68"/>
        <v>-0.28258226258064656</v>
      </c>
      <c r="AV79">
        <f t="shared" si="69"/>
        <v>1.0483343097943483</v>
      </c>
      <c r="AW79">
        <f t="shared" si="70"/>
        <v>1.5399321263568668</v>
      </c>
      <c r="AX79">
        <f t="shared" si="71"/>
        <v>-0.73693346986043973</v>
      </c>
      <c r="AY79">
        <f t="shared" si="72"/>
        <v>7.2528456596748603</v>
      </c>
      <c r="AZ79">
        <f t="shared" si="73"/>
        <v>3.2550769544019267</v>
      </c>
      <c r="BA79">
        <f t="shared" si="74"/>
        <v>7.032773541967666</v>
      </c>
      <c r="BB79">
        <f t="shared" si="75"/>
        <v>-10.449640758597051</v>
      </c>
    </row>
    <row r="80" spans="1:54" x14ac:dyDescent="0.25">
      <c r="A80" s="1">
        <v>41821</v>
      </c>
      <c r="B80">
        <v>260038</v>
      </c>
      <c r="C80">
        <v>151690</v>
      </c>
      <c r="D80">
        <v>50639</v>
      </c>
      <c r="E80">
        <v>47024</v>
      </c>
      <c r="F80">
        <v>87593</v>
      </c>
      <c r="G80">
        <v>79795</v>
      </c>
      <c r="H80">
        <f>'[1]Sheet 1'!H80</f>
        <v>276316.835530321</v>
      </c>
      <c r="I80">
        <f>'[1]Sheet 1'!I80</f>
        <v>48023.210624573403</v>
      </c>
      <c r="J80">
        <f>'[1]Sheet 1'!J80</f>
        <v>182365.55818204899</v>
      </c>
      <c r="K80">
        <f>'[1]Sheet 1'!K80</f>
        <v>53958.074440347198</v>
      </c>
      <c r="L80">
        <f>'[1]Sheet 1'!L80</f>
        <v>90639.082762915205</v>
      </c>
      <c r="M80">
        <f>'[1]Sheet 1'!M80</f>
        <v>80634.486664079901</v>
      </c>
      <c r="N80">
        <f t="shared" si="43"/>
        <v>-18034.603815483919</v>
      </c>
      <c r="O80">
        <v>23.67</v>
      </c>
      <c r="P80">
        <v>100.726666666667</v>
      </c>
      <c r="R80">
        <f t="shared" si="44"/>
        <v>0.79956582051788416</v>
      </c>
      <c r="S80">
        <f t="shared" si="45"/>
        <v>0.63824748371807027</v>
      </c>
      <c r="T80">
        <f t="shared" si="46"/>
        <v>-7.9695674769196621E-3</v>
      </c>
      <c r="U80">
        <f t="shared" si="47"/>
        <v>-0.17251155218868966</v>
      </c>
      <c r="V80">
        <f t="shared" si="48"/>
        <v>2.8288496193773054</v>
      </c>
      <c r="W80">
        <f t="shared" si="49"/>
        <v>2.0274758360389922</v>
      </c>
      <c r="X80">
        <f t="shared" si="50"/>
        <v>-5.7678457844103299</v>
      </c>
      <c r="Y80">
        <f t="shared" si="51"/>
        <v>-0.25745973065751671</v>
      </c>
      <c r="Z80">
        <f t="shared" si="76"/>
        <v>-9.9268720426244159E-3</v>
      </c>
      <c r="AA80">
        <f t="shared" si="52"/>
        <v>1</v>
      </c>
      <c r="AB80">
        <f t="shared" si="53"/>
        <v>0.17407621747274243</v>
      </c>
      <c r="AC80">
        <f t="shared" si="54"/>
        <v>0.66531719510159315</v>
      </c>
      <c r="AD80">
        <f t="shared" si="55"/>
        <v>0.19717761670030168</v>
      </c>
      <c r="AE80">
        <f t="shared" si="56"/>
        <v>0.32155246233923085</v>
      </c>
      <c r="AF80">
        <f t="shared" si="57"/>
        <v>0.28830687453245923</v>
      </c>
      <c r="AG80">
        <f t="shared" si="58"/>
        <v>-6.9816617081408738E-2</v>
      </c>
      <c r="AJ80">
        <f t="shared" si="59"/>
        <v>0.54006425687819637</v>
      </c>
      <c r="AK80">
        <f t="shared" si="60"/>
        <v>0.11695388401376121</v>
      </c>
      <c r="AL80">
        <f t="shared" si="61"/>
        <v>-0.28989726051628606</v>
      </c>
      <c r="AM80">
        <f t="shared" si="62"/>
        <v>8.8516860247254026E-2</v>
      </c>
      <c r="AN80">
        <f t="shared" si="63"/>
        <v>0.43864785100934006</v>
      </c>
      <c r="AO80">
        <f t="shared" si="64"/>
        <v>-0.41821627664313432</v>
      </c>
      <c r="AP80">
        <f t="shared" si="65"/>
        <v>0.60405919876727487</v>
      </c>
      <c r="AQ80">
        <f t="shared" si="66"/>
        <v>0.5400642568782098</v>
      </c>
      <c r="AS80">
        <f t="shared" si="67"/>
        <v>-8.4426516255270811E-2</v>
      </c>
      <c r="AT80">
        <f t="shared" si="68"/>
        <v>2.043157436620574E-2</v>
      </c>
      <c r="AV80">
        <f t="shared" si="69"/>
        <v>1.9205557991016025</v>
      </c>
      <c r="AW80">
        <f t="shared" si="70"/>
        <v>2.2290829265357419</v>
      </c>
      <c r="AX80">
        <f t="shared" si="71"/>
        <v>-0.56636290981495019</v>
      </c>
      <c r="AY80">
        <f t="shared" si="72"/>
        <v>4.8846913406954693</v>
      </c>
      <c r="AZ80">
        <f t="shared" si="73"/>
        <v>5.2290239148699103</v>
      </c>
      <c r="BA80">
        <f t="shared" si="74"/>
        <v>7.1557571397835762</v>
      </c>
      <c r="BB80">
        <f t="shared" si="75"/>
        <v>-16.509380580373165</v>
      </c>
    </row>
    <row r="81" spans="1:54" x14ac:dyDescent="0.25">
      <c r="A81" s="1">
        <v>41913</v>
      </c>
      <c r="B81">
        <v>262623</v>
      </c>
      <c r="C81">
        <v>152489</v>
      </c>
      <c r="D81">
        <v>50827</v>
      </c>
      <c r="E81">
        <v>47615</v>
      </c>
      <c r="F81">
        <v>88048</v>
      </c>
      <c r="G81">
        <v>79309</v>
      </c>
      <c r="H81">
        <f>'[1]Sheet 1'!H81</f>
        <v>278988.28041960101</v>
      </c>
      <c r="I81">
        <f>'[1]Sheet 1'!I81</f>
        <v>48306.254625428701</v>
      </c>
      <c r="J81">
        <f>'[1]Sheet 1'!J81</f>
        <v>182477.947796361</v>
      </c>
      <c r="K81">
        <f>'[1]Sheet 1'!K81</f>
        <v>54933.993120421997</v>
      </c>
      <c r="L81">
        <f>'[1]Sheet 1'!L81</f>
        <v>91017.0926689841</v>
      </c>
      <c r="M81">
        <f>'[1]Sheet 1'!M81</f>
        <v>80626.391472449905</v>
      </c>
      <c r="N81">
        <f t="shared" si="43"/>
        <v>-17120.616319144916</v>
      </c>
      <c r="O81">
        <v>23.7</v>
      </c>
      <c r="P81">
        <v>99.713333333333296</v>
      </c>
      <c r="R81">
        <f t="shared" si="44"/>
        <v>0.9668049665351891</v>
      </c>
      <c r="S81">
        <f t="shared" si="45"/>
        <v>0.58938999949008941</v>
      </c>
      <c r="T81">
        <f t="shared" si="46"/>
        <v>6.1628750205021066E-2</v>
      </c>
      <c r="U81">
        <f t="shared" si="47"/>
        <v>1.8086610580474223</v>
      </c>
      <c r="V81">
        <f t="shared" si="48"/>
        <v>0.41704957127341691</v>
      </c>
      <c r="W81">
        <f t="shared" si="49"/>
        <v>-1.0039366485608889E-2</v>
      </c>
      <c r="X81">
        <f t="shared" si="50"/>
        <v>-5.0679654828584777</v>
      </c>
      <c r="Y81">
        <f t="shared" si="51"/>
        <v>-1.0060229002584897</v>
      </c>
      <c r="Z81">
        <f t="shared" si="76"/>
        <v>-0.90436280518074119</v>
      </c>
      <c r="AA81">
        <f t="shared" si="52"/>
        <v>1</v>
      </c>
      <c r="AB81">
        <f t="shared" si="53"/>
        <v>0.17379762811920191</v>
      </c>
      <c r="AC81">
        <f t="shared" si="54"/>
        <v>0.65998714060272134</v>
      </c>
      <c r="AD81">
        <f t="shared" si="55"/>
        <v>0.1952761015693748</v>
      </c>
      <c r="AE81">
        <f t="shared" si="56"/>
        <v>0.32802591484864169</v>
      </c>
      <c r="AF81">
        <f t="shared" si="57"/>
        <v>0.29181894222739702</v>
      </c>
      <c r="AG81">
        <f t="shared" si="58"/>
        <v>-6.5267842912542812E-2</v>
      </c>
      <c r="AJ81">
        <f t="shared" si="59"/>
        <v>0.79956582051788416</v>
      </c>
      <c r="AK81">
        <f t="shared" si="60"/>
        <v>0.11110370777713743</v>
      </c>
      <c r="AL81">
        <f t="shared" si="61"/>
        <v>-5.3022902799170699E-3</v>
      </c>
      <c r="AM81">
        <f t="shared" si="62"/>
        <v>-3.4015416713835539E-2</v>
      </c>
      <c r="AN81">
        <f t="shared" si="63"/>
        <v>0.90962356069816852</v>
      </c>
      <c r="AO81">
        <f t="shared" si="64"/>
        <v>-0.58453522147848658</v>
      </c>
      <c r="AP81">
        <f t="shared" si="65"/>
        <v>0.40269148051479364</v>
      </c>
      <c r="AQ81">
        <f t="shared" si="66"/>
        <v>0.7995658205178604</v>
      </c>
      <c r="AS81">
        <f t="shared" si="67"/>
        <v>7.1786000783384818E-2</v>
      </c>
      <c r="AT81">
        <f t="shared" si="68"/>
        <v>0.32508833921968194</v>
      </c>
      <c r="AV81">
        <f t="shared" si="69"/>
        <v>2.7105284491163344</v>
      </c>
      <c r="AW81">
        <f t="shared" si="70"/>
        <v>2.023100117748188</v>
      </c>
      <c r="AX81">
        <f t="shared" si="71"/>
        <v>-0.72128423343486547</v>
      </c>
      <c r="AY81">
        <f t="shared" si="72"/>
        <v>5.3569152038638093</v>
      </c>
      <c r="AZ81">
        <f t="shared" si="73"/>
        <v>5.6815002797538785</v>
      </c>
      <c r="BA81">
        <f t="shared" si="74"/>
        <v>5.6721034237744909</v>
      </c>
      <c r="BB81">
        <f t="shared" si="75"/>
        <v>-20.341132221297567</v>
      </c>
    </row>
    <row r="82" spans="1:54" x14ac:dyDescent="0.25">
      <c r="A82" s="1">
        <v>42005</v>
      </c>
      <c r="B82">
        <v>268094</v>
      </c>
      <c r="C82">
        <v>153592</v>
      </c>
      <c r="D82">
        <v>51738</v>
      </c>
      <c r="E82">
        <v>50973</v>
      </c>
      <c r="F82">
        <v>88721</v>
      </c>
      <c r="G82">
        <v>79917</v>
      </c>
      <c r="H82">
        <f>'[1]Sheet 1'!H82</f>
        <v>282384.68256088102</v>
      </c>
      <c r="I82">
        <f>'[1]Sheet 1'!I82</f>
        <v>48739.5553900054</v>
      </c>
      <c r="J82">
        <f>'[1]Sheet 1'!J82</f>
        <v>184330.63633829399</v>
      </c>
      <c r="K82">
        <f>'[1]Sheet 1'!K82</f>
        <v>56966.905900906502</v>
      </c>
      <c r="L82">
        <f>'[1]Sheet 1'!L82</f>
        <v>91512.558418846296</v>
      </c>
      <c r="M82">
        <f>'[1]Sheet 1'!M82</f>
        <v>82139.456380738906</v>
      </c>
      <c r="N82">
        <f t="shared" si="43"/>
        <v>-17025.517106432308</v>
      </c>
      <c r="O82">
        <v>23.78</v>
      </c>
      <c r="P82">
        <v>99.72</v>
      </c>
      <c r="R82">
        <f t="shared" si="44"/>
        <v>1.2173995754129119</v>
      </c>
      <c r="S82">
        <f t="shared" si="45"/>
        <v>0.8969868766199216</v>
      </c>
      <c r="T82">
        <f t="shared" si="46"/>
        <v>1.0152944858852355</v>
      </c>
      <c r="U82">
        <f t="shared" si="47"/>
        <v>3.7006462938678291</v>
      </c>
      <c r="V82">
        <f t="shared" si="48"/>
        <v>0.54436560796787159</v>
      </c>
      <c r="W82">
        <f t="shared" si="49"/>
        <v>1.8766372656104999</v>
      </c>
      <c r="X82">
        <f t="shared" si="50"/>
        <v>-0.55546605881392697</v>
      </c>
      <c r="Y82">
        <f t="shared" si="51"/>
        <v>6.6858327205020105E-3</v>
      </c>
      <c r="Z82">
        <f t="shared" si="76"/>
        <v>-1.2542909955112913</v>
      </c>
      <c r="AA82">
        <f t="shared" si="52"/>
        <v>1</v>
      </c>
      <c r="AB82">
        <f t="shared" si="53"/>
        <v>0.17314797077775324</v>
      </c>
      <c r="AC82">
        <f t="shared" si="54"/>
        <v>0.65407029830038899</v>
      </c>
      <c r="AD82">
        <f t="shared" si="55"/>
        <v>0.19690430378581047</v>
      </c>
      <c r="AE82">
        <f t="shared" si="56"/>
        <v>0.3262398425198848</v>
      </c>
      <c r="AF82">
        <f t="shared" si="57"/>
        <v>0.28899562143322671</v>
      </c>
      <c r="AG82">
        <f t="shared" si="58"/>
        <v>-6.1366793950610926E-2</v>
      </c>
      <c r="AJ82">
        <f t="shared" si="59"/>
        <v>0.9668049665351891</v>
      </c>
      <c r="AK82">
        <f t="shared" si="60"/>
        <v>0.10243458394855516</v>
      </c>
      <c r="AL82">
        <f t="shared" si="61"/>
        <v>4.0674182626731233E-2</v>
      </c>
      <c r="AM82">
        <f t="shared" si="62"/>
        <v>0.35318828047584133</v>
      </c>
      <c r="AN82">
        <f t="shared" si="63"/>
        <v>0.13680306715419638</v>
      </c>
      <c r="AO82">
        <f t="shared" si="64"/>
        <v>2.9296773084635662E-3</v>
      </c>
      <c r="AP82">
        <f t="shared" si="65"/>
        <v>0.33077517502139631</v>
      </c>
      <c r="AQ82">
        <f t="shared" si="66"/>
        <v>0.966804966535184</v>
      </c>
      <c r="AS82">
        <f t="shared" si="67"/>
        <v>0.49629704705112776</v>
      </c>
      <c r="AT82">
        <f t="shared" si="68"/>
        <v>0.13973274446265996</v>
      </c>
      <c r="AV82">
        <f t="shared" si="69"/>
        <v>3.5694354278423592</v>
      </c>
      <c r="AW82">
        <f t="shared" si="70"/>
        <v>2.826565523708723</v>
      </c>
      <c r="AX82">
        <f t="shared" si="71"/>
        <v>0.63336127409885001</v>
      </c>
      <c r="AY82">
        <f t="shared" si="72"/>
        <v>5.8668120596060707</v>
      </c>
      <c r="AZ82">
        <f t="shared" si="73"/>
        <v>5.2478289913159788</v>
      </c>
      <c r="BA82">
        <f t="shared" si="74"/>
        <v>5.4532074572448996</v>
      </c>
      <c r="BB82">
        <f t="shared" si="75"/>
        <v>-18.089311795023853</v>
      </c>
    </row>
    <row r="83" spans="1:54" x14ac:dyDescent="0.25">
      <c r="A83" s="1">
        <v>42095</v>
      </c>
      <c r="B83">
        <v>270627</v>
      </c>
      <c r="C83">
        <v>155135</v>
      </c>
      <c r="D83">
        <v>52214</v>
      </c>
      <c r="E83">
        <v>52680</v>
      </c>
      <c r="F83">
        <v>90197</v>
      </c>
      <c r="G83">
        <v>82640</v>
      </c>
      <c r="H83">
        <f>'[1]Sheet 1'!H83</f>
        <v>285546.77219470002</v>
      </c>
      <c r="I83">
        <f>'[1]Sheet 1'!I83</f>
        <v>49017.513922204598</v>
      </c>
      <c r="J83">
        <f>'[1]Sheet 1'!J83</f>
        <v>185864.37584726201</v>
      </c>
      <c r="K83">
        <f>'[1]Sheet 1'!K83</f>
        <v>59133.319888607497</v>
      </c>
      <c r="L83">
        <f>'[1]Sheet 1'!L83</f>
        <v>91987.974929438293</v>
      </c>
      <c r="M83">
        <f>'[1]Sheet 1'!M83</f>
        <v>82767.610543378105</v>
      </c>
      <c r="N83">
        <f t="shared" si="43"/>
        <v>-17688.801849434283</v>
      </c>
      <c r="O83">
        <v>22.37</v>
      </c>
      <c r="P83">
        <v>100.87666666666701</v>
      </c>
      <c r="R83">
        <f t="shared" si="44"/>
        <v>1.1197808624542773</v>
      </c>
      <c r="S83">
        <f t="shared" si="45"/>
        <v>0.57029353258359161</v>
      </c>
      <c r="T83">
        <f t="shared" si="46"/>
        <v>0.83205892380972202</v>
      </c>
      <c r="U83">
        <f t="shared" si="47"/>
        <v>3.8029342711177883</v>
      </c>
      <c r="V83">
        <f t="shared" si="48"/>
        <v>0.51950958295368577</v>
      </c>
      <c r="W83">
        <f t="shared" si="49"/>
        <v>0.76474107611271769</v>
      </c>
      <c r="X83">
        <f t="shared" si="50"/>
        <v>3.8958272976706474</v>
      </c>
      <c r="Y83">
        <f t="shared" si="51"/>
        <v>1.159914427062783</v>
      </c>
      <c r="Z83">
        <f t="shared" si="76"/>
        <v>0.14891786352505645</v>
      </c>
      <c r="AA83">
        <f t="shared" si="52"/>
        <v>1</v>
      </c>
      <c r="AB83">
        <f t="shared" si="53"/>
        <v>0.17259985544540768</v>
      </c>
      <c r="AC83">
        <f t="shared" si="54"/>
        <v>0.65276428829865107</v>
      </c>
      <c r="AD83">
        <f t="shared" si="55"/>
        <v>0.20173511319483367</v>
      </c>
      <c r="AE83">
        <f t="shared" si="56"/>
        <v>0.32407054656414147</v>
      </c>
      <c r="AF83">
        <f t="shared" si="57"/>
        <v>0.290877874946457</v>
      </c>
      <c r="AG83">
        <f t="shared" si="58"/>
        <v>-6.0291928556576981E-2</v>
      </c>
      <c r="AJ83">
        <f t="shared" si="59"/>
        <v>1.2173995754129119</v>
      </c>
      <c r="AK83">
        <f t="shared" si="60"/>
        <v>0.15531145750101433</v>
      </c>
      <c r="AL83">
        <f t="shared" si="61"/>
        <v>0.66407396724569612</v>
      </c>
      <c r="AM83">
        <f t="shared" si="62"/>
        <v>0.72867318205158471</v>
      </c>
      <c r="AN83">
        <f t="shared" si="63"/>
        <v>0.17759375021667978</v>
      </c>
      <c r="AO83">
        <f t="shared" si="64"/>
        <v>-0.5423399527798578</v>
      </c>
      <c r="AP83">
        <f t="shared" si="65"/>
        <v>3.4087171177792183E-2</v>
      </c>
      <c r="AQ83">
        <f t="shared" si="66"/>
        <v>1.2173995754129094</v>
      </c>
      <c r="AS83">
        <f t="shared" si="67"/>
        <v>1.5480586067982953</v>
      </c>
      <c r="AT83">
        <f t="shared" si="68"/>
        <v>-0.36474620256317802</v>
      </c>
      <c r="AV83">
        <f t="shared" si="69"/>
        <v>4.1666194657822624</v>
      </c>
      <c r="AW83">
        <f t="shared" si="70"/>
        <v>2.7219261890664823</v>
      </c>
      <c r="AX83">
        <f t="shared" si="71"/>
        <v>1.9104512458906084</v>
      </c>
      <c r="AY83">
        <f t="shared" si="72"/>
        <v>9.4021769547547898</v>
      </c>
      <c r="AZ83">
        <f t="shared" si="73"/>
        <v>4.3591500760464186</v>
      </c>
      <c r="BA83">
        <f t="shared" si="74"/>
        <v>4.7265349366077531</v>
      </c>
      <c r="BB83">
        <f t="shared" si="75"/>
        <v>-7.5746869285926266</v>
      </c>
    </row>
    <row r="84" spans="1:54" x14ac:dyDescent="0.25">
      <c r="A84" s="1">
        <v>42186</v>
      </c>
      <c r="B84">
        <v>273121</v>
      </c>
      <c r="C84">
        <v>156534</v>
      </c>
      <c r="D84">
        <v>52496</v>
      </c>
      <c r="E84">
        <v>53097</v>
      </c>
      <c r="F84">
        <v>91559</v>
      </c>
      <c r="G84">
        <v>83645</v>
      </c>
      <c r="H84">
        <f>'[1]Sheet 1'!H84</f>
        <v>288165.70849797101</v>
      </c>
      <c r="I84">
        <f>'[1]Sheet 1'!I84</f>
        <v>49596.739384610402</v>
      </c>
      <c r="J84">
        <f>'[1]Sheet 1'!J84</f>
        <v>186679.763522678</v>
      </c>
      <c r="K84">
        <f>'[1]Sheet 1'!K84</f>
        <v>59032.520937809</v>
      </c>
      <c r="L84">
        <f>'[1]Sheet 1'!L84</f>
        <v>94032.567093814097</v>
      </c>
      <c r="M84">
        <f>'[1]Sheet 1'!M84</f>
        <v>84999.1032664222</v>
      </c>
      <c r="N84">
        <f t="shared" si="43"/>
        <v>-16176.779174518233</v>
      </c>
      <c r="O84">
        <v>21.18</v>
      </c>
      <c r="P84">
        <v>99.87</v>
      </c>
      <c r="R84">
        <f t="shared" si="44"/>
        <v>0.91716543778168136</v>
      </c>
      <c r="S84">
        <f t="shared" si="45"/>
        <v>1.1816704195261503</v>
      </c>
      <c r="T84">
        <f t="shared" si="46"/>
        <v>0.43870035433043314</v>
      </c>
      <c r="U84">
        <f t="shared" si="47"/>
        <v>-0.17046049670198946</v>
      </c>
      <c r="V84">
        <f t="shared" si="48"/>
        <v>2.2226733069666564</v>
      </c>
      <c r="W84">
        <f t="shared" si="49"/>
        <v>2.696094170647322</v>
      </c>
      <c r="X84">
        <f t="shared" si="50"/>
        <v>-8.5479089414097729</v>
      </c>
      <c r="Y84">
        <f t="shared" si="51"/>
        <v>-0.99791825000858958</v>
      </c>
      <c r="Z84">
        <f t="shared" si="76"/>
        <v>0.15711706893097779</v>
      </c>
      <c r="AA84">
        <f t="shared" si="52"/>
        <v>1</v>
      </c>
      <c r="AB84">
        <f t="shared" si="53"/>
        <v>0.17166194366498394</v>
      </c>
      <c r="AC84">
        <f t="shared" si="54"/>
        <v>0.65090694045923381</v>
      </c>
      <c r="AD84">
        <f t="shared" si="55"/>
        <v>0.20708803476961543</v>
      </c>
      <c r="AE84">
        <f t="shared" si="56"/>
        <v>0.32214678604987451</v>
      </c>
      <c r="AF84">
        <f t="shared" si="57"/>
        <v>0.28985657903687673</v>
      </c>
      <c r="AG84">
        <f t="shared" si="58"/>
        <v>-6.194712590683104E-2</v>
      </c>
      <c r="AJ84">
        <f t="shared" si="59"/>
        <v>1.1197808624542773</v>
      </c>
      <c r="AK84">
        <f t="shared" si="60"/>
        <v>9.8432581285378809E-2</v>
      </c>
      <c r="AL84">
        <f t="shared" si="61"/>
        <v>0.54313835122319476</v>
      </c>
      <c r="AM84">
        <f t="shared" si="62"/>
        <v>0.76718537565645928</v>
      </c>
      <c r="AN84">
        <f t="shared" si="63"/>
        <v>0.16835775449311013</v>
      </c>
      <c r="AO84">
        <f t="shared" si="64"/>
        <v>-0.22244625910393406</v>
      </c>
      <c r="AP84">
        <f t="shared" si="65"/>
        <v>-0.23488694109992103</v>
      </c>
      <c r="AQ84">
        <f t="shared" si="66"/>
        <v>1.119780862454288</v>
      </c>
      <c r="AS84">
        <f t="shared" si="67"/>
        <v>1.4087563081650329</v>
      </c>
      <c r="AT84">
        <f t="shared" si="68"/>
        <v>-5.4088504610823929E-2</v>
      </c>
      <c r="AV84">
        <f t="shared" si="69"/>
        <v>4.2881473164344337</v>
      </c>
      <c r="AW84">
        <f t="shared" si="70"/>
        <v>3.2766005012414294</v>
      </c>
      <c r="AX84">
        <f t="shared" si="71"/>
        <v>2.3656908594123296</v>
      </c>
      <c r="AY84">
        <f t="shared" si="72"/>
        <v>9.4044247317828304</v>
      </c>
      <c r="AZ84">
        <f t="shared" si="73"/>
        <v>3.7439526388139162</v>
      </c>
      <c r="BA84">
        <f t="shared" si="74"/>
        <v>5.4128410595892058</v>
      </c>
      <c r="BB84">
        <f t="shared" si="75"/>
        <v>-10.301444156874789</v>
      </c>
    </row>
    <row r="85" spans="1:54" x14ac:dyDescent="0.25">
      <c r="A85" s="1">
        <v>42278</v>
      </c>
      <c r="B85">
        <v>275270</v>
      </c>
      <c r="C85">
        <v>156952</v>
      </c>
      <c r="D85">
        <v>52869</v>
      </c>
      <c r="E85">
        <v>53861</v>
      </c>
      <c r="F85">
        <v>91517</v>
      </c>
      <c r="G85">
        <v>83012</v>
      </c>
      <c r="H85">
        <f>'[1]Sheet 1'!H85</f>
        <v>290739.19382087898</v>
      </c>
      <c r="I85">
        <f>'[1]Sheet 1'!I85</f>
        <v>49725.571257233903</v>
      </c>
      <c r="J85">
        <f>'[1]Sheet 1'!J85</f>
        <v>187603.651190053</v>
      </c>
      <c r="K85">
        <f>'[1]Sheet 1'!K85</f>
        <v>59824.091195053799</v>
      </c>
      <c r="L85">
        <f>'[1]Sheet 1'!L85</f>
        <v>94742.723195518396</v>
      </c>
      <c r="M85">
        <f>'[1]Sheet 1'!M85</f>
        <v>84480.520384430798</v>
      </c>
      <c r="N85">
        <f t="shared" si="43"/>
        <v>-16676.32263254936</v>
      </c>
      <c r="O85">
        <v>20.9</v>
      </c>
      <c r="P85">
        <v>99.396666666666704</v>
      </c>
      <c r="R85">
        <f t="shared" si="44"/>
        <v>0.89305744820296495</v>
      </c>
      <c r="S85">
        <f t="shared" si="45"/>
        <v>0.25975875475289195</v>
      </c>
      <c r="T85">
        <f t="shared" si="46"/>
        <v>0.49490509841082531</v>
      </c>
      <c r="U85">
        <f t="shared" si="47"/>
        <v>1.3409053936197668</v>
      </c>
      <c r="V85">
        <f t="shared" si="48"/>
        <v>0.75522356099859789</v>
      </c>
      <c r="W85">
        <f t="shared" si="49"/>
        <v>-0.61010394470392226</v>
      </c>
      <c r="X85">
        <f t="shared" si="50"/>
        <v>3.088027923494256</v>
      </c>
      <c r="Y85">
        <f t="shared" si="51"/>
        <v>-0.4739494676412343</v>
      </c>
      <c r="Z85">
        <f t="shared" si="76"/>
        <v>-0.32424120871770462</v>
      </c>
      <c r="AA85">
        <f t="shared" si="52"/>
        <v>1</v>
      </c>
      <c r="AB85">
        <f t="shared" si="53"/>
        <v>0.17211187147536541</v>
      </c>
      <c r="AC85">
        <f t="shared" si="54"/>
        <v>0.64782088228236367</v>
      </c>
      <c r="AD85">
        <f t="shared" si="55"/>
        <v>0.20485616156588823</v>
      </c>
      <c r="AE85">
        <f t="shared" si="56"/>
        <v>0.32631421546979866</v>
      </c>
      <c r="AF85">
        <f t="shared" si="57"/>
        <v>0.29496605862463571</v>
      </c>
      <c r="AG85">
        <f t="shared" si="58"/>
        <v>-5.6137072168780049E-2</v>
      </c>
      <c r="AJ85">
        <f t="shared" si="59"/>
        <v>0.91716543778168136</v>
      </c>
      <c r="AK85">
        <f t="shared" si="60"/>
        <v>0.20284784098727596</v>
      </c>
      <c r="AL85">
        <f t="shared" si="61"/>
        <v>0.28555310541560402</v>
      </c>
      <c r="AM85">
        <f t="shared" si="62"/>
        <v>-3.5300329267867511E-2</v>
      </c>
      <c r="AN85">
        <f t="shared" si="63"/>
        <v>0.71602706227815449</v>
      </c>
      <c r="AO85">
        <f t="shared" si="64"/>
        <v>-0.78148063306509807</v>
      </c>
      <c r="AP85">
        <f t="shared" si="65"/>
        <v>0.52951839143363799</v>
      </c>
      <c r="AQ85">
        <f t="shared" si="66"/>
        <v>0.917165437781707</v>
      </c>
      <c r="AS85">
        <f t="shared" si="67"/>
        <v>0.45310061713501248</v>
      </c>
      <c r="AT85">
        <f t="shared" si="68"/>
        <v>-6.5453570786943582E-2</v>
      </c>
      <c r="AV85">
        <f t="shared" si="69"/>
        <v>4.2119738447810366</v>
      </c>
      <c r="AW85">
        <f t="shared" si="70"/>
        <v>2.9381632726666949</v>
      </c>
      <c r="AX85">
        <f t="shared" si="71"/>
        <v>2.8089440152034761</v>
      </c>
      <c r="AY85">
        <f t="shared" si="72"/>
        <v>8.9017706466597311</v>
      </c>
      <c r="AZ85">
        <f t="shared" si="73"/>
        <v>4.0933306231653335</v>
      </c>
      <c r="BA85">
        <f t="shared" si="74"/>
        <v>4.7802324295982563</v>
      </c>
      <c r="BB85">
        <f t="shared" si="75"/>
        <v>-2.5950799802617519</v>
      </c>
    </row>
    <row r="86" spans="1:54" x14ac:dyDescent="0.25">
      <c r="A86" s="1">
        <v>42370</v>
      </c>
      <c r="B86">
        <v>277417</v>
      </c>
      <c r="C86">
        <v>157636</v>
      </c>
      <c r="D86">
        <v>52717</v>
      </c>
      <c r="E86">
        <v>53763</v>
      </c>
      <c r="F86">
        <v>91463</v>
      </c>
      <c r="G86">
        <v>81302</v>
      </c>
      <c r="H86">
        <f>'[1]Sheet 1'!H86</f>
        <v>292759.36286110798</v>
      </c>
      <c r="I86">
        <f>'[1]Sheet 1'!I86</f>
        <v>49953.616856326</v>
      </c>
      <c r="J86">
        <f>'[1]Sheet 1'!J86</f>
        <v>187836.61909731501</v>
      </c>
      <c r="K86">
        <f>'[1]Sheet 1'!K86</f>
        <v>59410.511263044398</v>
      </c>
      <c r="L86">
        <f>'[1]Sheet 1'!L86</f>
        <v>95812.216735816706</v>
      </c>
      <c r="M86">
        <f>'[1]Sheet 1'!M86</f>
        <v>84244.206204526199</v>
      </c>
      <c r="N86">
        <f t="shared" si="43"/>
        <v>-16009.394886867958</v>
      </c>
      <c r="O86">
        <v>21</v>
      </c>
      <c r="P86">
        <v>98.673333333333304</v>
      </c>
      <c r="R86">
        <f t="shared" si="44"/>
        <v>0.69483890826002614</v>
      </c>
      <c r="S86">
        <f t="shared" si="45"/>
        <v>0.45860830419101745</v>
      </c>
      <c r="T86">
        <f t="shared" si="46"/>
        <v>0.12418090254863753</v>
      </c>
      <c r="U86">
        <f t="shared" si="47"/>
        <v>-0.69132672765716086</v>
      </c>
      <c r="V86">
        <f t="shared" si="48"/>
        <v>1.1288397717798555</v>
      </c>
      <c r="W86">
        <f t="shared" si="49"/>
        <v>-0.27972623609471753</v>
      </c>
      <c r="X86">
        <f t="shared" si="50"/>
        <v>-3.9992494770979756</v>
      </c>
      <c r="Y86">
        <f t="shared" si="51"/>
        <v>-0.72772393440430594</v>
      </c>
      <c r="Z86">
        <f t="shared" si="76"/>
        <v>-2.1841853087932743</v>
      </c>
      <c r="AA86">
        <f t="shared" si="52"/>
        <v>1</v>
      </c>
      <c r="AB86">
        <f t="shared" si="53"/>
        <v>0.17103153724732842</v>
      </c>
      <c r="AC86">
        <f t="shared" si="54"/>
        <v>0.64526439908075628</v>
      </c>
      <c r="AD86">
        <f t="shared" si="55"/>
        <v>0.20576548489678595</v>
      </c>
      <c r="AE86">
        <f t="shared" si="56"/>
        <v>0.32586842506651609</v>
      </c>
      <c r="AF86">
        <f t="shared" si="57"/>
        <v>0.29057148874285682</v>
      </c>
      <c r="AG86">
        <f t="shared" si="58"/>
        <v>-5.7358357548530067E-2</v>
      </c>
      <c r="AJ86">
        <f t="shared" si="59"/>
        <v>0.89305744820296495</v>
      </c>
      <c r="AK86">
        <f t="shared" si="60"/>
        <v>4.4707565412630705E-2</v>
      </c>
      <c r="AL86">
        <f t="shared" si="61"/>
        <v>0.32060985749854087</v>
      </c>
      <c r="AM86">
        <f t="shared" si="62"/>
        <v>0.27469273195994193</v>
      </c>
      <c r="AN86">
        <f t="shared" si="63"/>
        <v>0.2464401838115651</v>
      </c>
      <c r="AO86">
        <f t="shared" si="64"/>
        <v>0.17995995592065864</v>
      </c>
      <c r="AP86">
        <f t="shared" si="65"/>
        <v>-0.17335284640040505</v>
      </c>
      <c r="AQ86">
        <f t="shared" si="66"/>
        <v>0.89305744820293209</v>
      </c>
      <c r="AS86">
        <f t="shared" si="67"/>
        <v>0.64001015487111346</v>
      </c>
      <c r="AT86">
        <f t="shared" si="68"/>
        <v>0.42640013973222374</v>
      </c>
      <c r="AV86">
        <f t="shared" si="69"/>
        <v>3.673952923416878</v>
      </c>
      <c r="AW86">
        <f t="shared" si="70"/>
        <v>2.4909161698458102</v>
      </c>
      <c r="AX86">
        <f t="shared" si="71"/>
        <v>1.9020076253556906</v>
      </c>
      <c r="AY86">
        <f t="shared" si="72"/>
        <v>4.289517437349553</v>
      </c>
      <c r="AZ86">
        <f t="shared" si="73"/>
        <v>4.6984352653448811</v>
      </c>
      <c r="BA86">
        <f t="shared" si="74"/>
        <v>2.5624102185814337</v>
      </c>
      <c r="BB86">
        <f t="shared" si="75"/>
        <v>-5.9682311744907564</v>
      </c>
    </row>
    <row r="87" spans="1:54" x14ac:dyDescent="0.25">
      <c r="A87" s="1">
        <v>42461</v>
      </c>
      <c r="B87">
        <v>279123</v>
      </c>
      <c r="C87">
        <v>158795</v>
      </c>
      <c r="D87">
        <v>52973</v>
      </c>
      <c r="E87">
        <v>53054</v>
      </c>
      <c r="F87">
        <v>93367</v>
      </c>
      <c r="G87">
        <v>82173</v>
      </c>
      <c r="H87">
        <f>'[1]Sheet 1'!H87</f>
        <v>293727.66635579598</v>
      </c>
      <c r="I87">
        <f>'[1]Sheet 1'!I87</f>
        <v>50472.099220893899</v>
      </c>
      <c r="J87">
        <f>'[1]Sheet 1'!J87</f>
        <v>187662.404959284</v>
      </c>
      <c r="K87">
        <f>'[1]Sheet 1'!K87</f>
        <v>59386.407914843701</v>
      </c>
      <c r="L87">
        <f>'[1]Sheet 1'!L87</f>
        <v>97558.479661781195</v>
      </c>
      <c r="M87">
        <f>'[1]Sheet 1'!M87</f>
        <v>86216.652795411806</v>
      </c>
      <c r="N87">
        <f t="shared" si="43"/>
        <v>-15135.072605595022</v>
      </c>
      <c r="O87">
        <v>20</v>
      </c>
      <c r="P87">
        <v>100.003333333333</v>
      </c>
      <c r="R87">
        <f t="shared" si="44"/>
        <v>0.3307506496888345</v>
      </c>
      <c r="S87">
        <f t="shared" si="45"/>
        <v>1.0379275760134266</v>
      </c>
      <c r="T87">
        <f t="shared" si="46"/>
        <v>-9.2747696837935767E-2</v>
      </c>
      <c r="U87">
        <f t="shared" si="47"/>
        <v>-4.0570847966578817E-2</v>
      </c>
      <c r="V87">
        <f t="shared" si="48"/>
        <v>1.8225890032160144</v>
      </c>
      <c r="W87">
        <f t="shared" si="49"/>
        <v>2.3413439092736485</v>
      </c>
      <c r="X87">
        <f t="shared" si="50"/>
        <v>-5.4613074850825098</v>
      </c>
      <c r="Y87">
        <f t="shared" si="51"/>
        <v>1.3478818998713264</v>
      </c>
      <c r="Z87">
        <f t="shared" si="76"/>
        <v>0.13350689229297977</v>
      </c>
      <c r="AA87">
        <f t="shared" si="52"/>
        <v>1</v>
      </c>
      <c r="AB87">
        <f t="shared" si="53"/>
        <v>0.1706302963913239</v>
      </c>
      <c r="AC87">
        <f t="shared" si="54"/>
        <v>0.64160755530278013</v>
      </c>
      <c r="AD87">
        <f t="shared" si="55"/>
        <v>0.20293291624367335</v>
      </c>
      <c r="AE87">
        <f t="shared" si="56"/>
        <v>0.32727293774468386</v>
      </c>
      <c r="AF87">
        <f t="shared" si="57"/>
        <v>0.28775922102444818</v>
      </c>
      <c r="AG87">
        <f t="shared" si="58"/>
        <v>-5.4684484658013129E-2</v>
      </c>
      <c r="AJ87">
        <f t="shared" si="59"/>
        <v>0.69483890826002614</v>
      </c>
      <c r="AK87">
        <f t="shared" si="60"/>
        <v>7.8436483260180129E-2</v>
      </c>
      <c r="AL87">
        <f t="shared" si="61"/>
        <v>8.012951546035256E-2</v>
      </c>
      <c r="AM87">
        <f t="shared" si="62"/>
        <v>-0.142251179338484</v>
      </c>
      <c r="AN87">
        <f t="shared" si="63"/>
        <v>0.36785323858234698</v>
      </c>
      <c r="AO87">
        <f t="shared" si="64"/>
        <v>8.1280468862477917E-2</v>
      </c>
      <c r="AP87">
        <f t="shared" si="65"/>
        <v>0.2293903814331576</v>
      </c>
      <c r="AQ87">
        <f t="shared" si="66"/>
        <v>0.69483890826003125</v>
      </c>
      <c r="AS87">
        <f t="shared" si="67"/>
        <v>1.6314819382048679E-2</v>
      </c>
      <c r="AT87">
        <f t="shared" si="68"/>
        <v>0.44913370744482489</v>
      </c>
      <c r="AV87">
        <f t="shared" si="69"/>
        <v>2.8649926939176948</v>
      </c>
      <c r="AW87">
        <f t="shared" si="70"/>
        <v>2.9674807681961681</v>
      </c>
      <c r="AX87">
        <f t="shared" si="71"/>
        <v>0.9673877007499061</v>
      </c>
      <c r="AY87">
        <f t="shared" si="72"/>
        <v>0.42799563209533875</v>
      </c>
      <c r="AZ87">
        <f t="shared" si="73"/>
        <v>6.0556879707547644</v>
      </c>
      <c r="BA87">
        <f t="shared" si="74"/>
        <v>4.1671400556212452</v>
      </c>
      <c r="BB87">
        <f t="shared" si="75"/>
        <v>-14.436982592582629</v>
      </c>
    </row>
    <row r="88" spans="1:54" x14ac:dyDescent="0.25">
      <c r="A88" s="1">
        <v>42552</v>
      </c>
      <c r="B88">
        <v>282308</v>
      </c>
      <c r="C88">
        <v>160953</v>
      </c>
      <c r="D88">
        <v>53042</v>
      </c>
      <c r="E88">
        <v>52948</v>
      </c>
      <c r="F88">
        <v>95007</v>
      </c>
      <c r="G88">
        <v>82772</v>
      </c>
      <c r="H88">
        <f>'[1]Sheet 1'!H88</f>
        <v>296049.61861346598</v>
      </c>
      <c r="I88">
        <f>'[1]Sheet 1'!I88</f>
        <v>50823.7028732623</v>
      </c>
      <c r="J88">
        <f>'[1]Sheet 1'!J88</f>
        <v>187537.732327014</v>
      </c>
      <c r="K88">
        <f>'[1]Sheet 1'!K88</f>
        <v>58974.653385246304</v>
      </c>
      <c r="L88">
        <f>'[1]Sheet 1'!L88</f>
        <v>98482.981922378603</v>
      </c>
      <c r="M88">
        <f>'[1]Sheet 1'!M88</f>
        <v>85500.596299416997</v>
      </c>
      <c r="N88">
        <f t="shared" si="43"/>
        <v>-14268.855595018191</v>
      </c>
      <c r="O88">
        <v>18.91</v>
      </c>
      <c r="P88">
        <v>99.95</v>
      </c>
      <c r="R88">
        <f t="shared" si="44"/>
        <v>0.79051193456777979</v>
      </c>
      <c r="S88">
        <f t="shared" si="45"/>
        <v>0.69662973760926594</v>
      </c>
      <c r="T88">
        <f t="shared" si="46"/>
        <v>-6.6434527627974999E-2</v>
      </c>
      <c r="U88">
        <f t="shared" si="47"/>
        <v>-0.69334809774625095</v>
      </c>
      <c r="V88">
        <f t="shared" si="48"/>
        <v>0.94763906100474482</v>
      </c>
      <c r="W88">
        <f t="shared" si="49"/>
        <v>-0.83053154208384672</v>
      </c>
      <c r="X88">
        <f t="shared" si="50"/>
        <v>-5.7232431792670377</v>
      </c>
      <c r="Y88">
        <f t="shared" si="51"/>
        <v>-5.3331555614480296E-2</v>
      </c>
      <c r="Z88">
        <f t="shared" si="76"/>
        <v>0.55669204198661815</v>
      </c>
      <c r="AA88">
        <f t="shared" si="52"/>
        <v>1</v>
      </c>
      <c r="AB88">
        <f t="shared" si="53"/>
        <v>0.17183297660410515</v>
      </c>
      <c r="AC88">
        <f t="shared" si="54"/>
        <v>0.63889931543583711</v>
      </c>
      <c r="AD88">
        <f t="shared" si="55"/>
        <v>0.20218186680075348</v>
      </c>
      <c r="AE88">
        <f t="shared" si="56"/>
        <v>0.3321392256717397</v>
      </c>
      <c r="AF88">
        <f t="shared" si="57"/>
        <v>0.29352581547758083</v>
      </c>
      <c r="AG88">
        <f t="shared" si="58"/>
        <v>-5.1527569034854621E-2</v>
      </c>
      <c r="AJ88">
        <f t="shared" si="59"/>
        <v>0.3307506496888345</v>
      </c>
      <c r="AK88">
        <f t="shared" si="60"/>
        <v>0.17710188992789935</v>
      </c>
      <c r="AL88">
        <f t="shared" si="61"/>
        <v>-5.9507623028151359E-2</v>
      </c>
      <c r="AM88">
        <f t="shared" si="62"/>
        <v>-8.2331604923365446E-3</v>
      </c>
      <c r="AN88">
        <f t="shared" si="63"/>
        <v>0.59648405738366006</v>
      </c>
      <c r="AO88">
        <f t="shared" si="64"/>
        <v>-0.67374329948292133</v>
      </c>
      <c r="AP88">
        <f t="shared" si="65"/>
        <v>0.29864878538068679</v>
      </c>
      <c r="AQ88">
        <f t="shared" si="66"/>
        <v>0.330750649688837</v>
      </c>
      <c r="AS88">
        <f t="shared" si="67"/>
        <v>0.10936110640741145</v>
      </c>
      <c r="AT88">
        <f t="shared" si="68"/>
        <v>-7.7259242099261272E-2</v>
      </c>
      <c r="AV88">
        <f t="shared" si="69"/>
        <v>2.7358946200048941</v>
      </c>
      <c r="AW88">
        <f t="shared" si="70"/>
        <v>2.4738793393999163</v>
      </c>
      <c r="AX88">
        <f t="shared" si="71"/>
        <v>0.45959389927756183</v>
      </c>
      <c r="AY88">
        <f t="shared" si="72"/>
        <v>-9.8026565092248899E-2</v>
      </c>
      <c r="AZ88">
        <f t="shared" si="73"/>
        <v>4.7328441263593612</v>
      </c>
      <c r="BA88">
        <f t="shared" si="74"/>
        <v>0.5899980278884952</v>
      </c>
      <c r="BB88">
        <f t="shared" si="75"/>
        <v>-11.794211684025555</v>
      </c>
    </row>
    <row r="89" spans="1:54" x14ac:dyDescent="0.25">
      <c r="A89" s="1">
        <v>42644</v>
      </c>
      <c r="B89">
        <v>284119</v>
      </c>
      <c r="C89">
        <v>162668</v>
      </c>
      <c r="D89">
        <v>53118</v>
      </c>
      <c r="E89">
        <v>54285</v>
      </c>
      <c r="F89">
        <v>97222</v>
      </c>
      <c r="G89">
        <v>86282</v>
      </c>
      <c r="H89">
        <f>'[1]Sheet 1'!H89</f>
        <v>297732.15179957001</v>
      </c>
      <c r="I89">
        <f>'[1]Sheet 1'!I89</f>
        <v>50977.632475457598</v>
      </c>
      <c r="J89">
        <f>'[1]Sheet 1'!J89</f>
        <v>187996.70776469499</v>
      </c>
      <c r="K89">
        <f>'[1]Sheet 1'!K89</f>
        <v>60141.9063835454</v>
      </c>
      <c r="L89">
        <f>'[1]Sheet 1'!L89</f>
        <v>100496.596721358</v>
      </c>
      <c r="M89">
        <f>'[1]Sheet 1'!M89</f>
        <v>87272.053182965101</v>
      </c>
      <c r="N89">
        <f t="shared" si="43"/>
        <v>-14608.638362520913</v>
      </c>
      <c r="O89">
        <v>18.63</v>
      </c>
      <c r="P89">
        <v>100.98333333333299</v>
      </c>
      <c r="R89">
        <f t="shared" si="44"/>
        <v>0.56832810458736438</v>
      </c>
      <c r="S89">
        <f t="shared" si="45"/>
        <v>0.30286971136114949</v>
      </c>
      <c r="T89">
        <f t="shared" si="46"/>
        <v>0.24473764931777064</v>
      </c>
      <c r="U89">
        <f t="shared" si="47"/>
        <v>1.979245203314935</v>
      </c>
      <c r="V89">
        <f t="shared" si="48"/>
        <v>2.0446322396761598</v>
      </c>
      <c r="W89">
        <f t="shared" si="49"/>
        <v>2.0718649462333434</v>
      </c>
      <c r="X89">
        <f t="shared" si="50"/>
        <v>2.3812895522003408</v>
      </c>
      <c r="Y89">
        <f t="shared" si="51"/>
        <v>1.0338502584622216</v>
      </c>
      <c r="Z89">
        <f t="shared" si="76"/>
        <v>2.3410580366188336</v>
      </c>
      <c r="AA89">
        <f t="shared" si="52"/>
        <v>1</v>
      </c>
      <c r="AB89">
        <f t="shared" si="53"/>
        <v>0.17167292128695402</v>
      </c>
      <c r="AC89">
        <f t="shared" si="54"/>
        <v>0.63346723162602903</v>
      </c>
      <c r="AD89">
        <f t="shared" si="55"/>
        <v>0.19920530099464823</v>
      </c>
      <c r="AE89">
        <f t="shared" si="56"/>
        <v>0.33265701331965525</v>
      </c>
      <c r="AF89">
        <f t="shared" si="57"/>
        <v>0.2888049533718533</v>
      </c>
      <c r="AG89">
        <f t="shared" si="58"/>
        <v>-4.8197513855433027E-2</v>
      </c>
      <c r="AJ89">
        <f t="shared" si="59"/>
        <v>0.79051193456777979</v>
      </c>
      <c r="AK89">
        <f t="shared" si="60"/>
        <v>0.11970396140433691</v>
      </c>
      <c r="AL89">
        <f t="shared" si="61"/>
        <v>-4.2444974222816435E-2</v>
      </c>
      <c r="AM89">
        <f t="shared" si="62"/>
        <v>-0.1401824127450883</v>
      </c>
      <c r="AN89">
        <f t="shared" si="63"/>
        <v>0.31474810393841046</v>
      </c>
      <c r="AO89">
        <f t="shared" si="64"/>
        <v>0.24378244817001385</v>
      </c>
      <c r="AP89">
        <f t="shared" si="65"/>
        <v>0.29490480802294311</v>
      </c>
      <c r="AQ89">
        <f t="shared" si="66"/>
        <v>0.79051193456779956</v>
      </c>
      <c r="AS89">
        <f t="shared" si="67"/>
        <v>-6.2923425563567836E-2</v>
      </c>
      <c r="AT89">
        <f t="shared" si="68"/>
        <v>0.55853055210842428</v>
      </c>
      <c r="AV89">
        <f t="shared" si="69"/>
        <v>2.4052340129275147</v>
      </c>
      <c r="AW89">
        <f t="shared" si="70"/>
        <v>2.5179423515251202</v>
      </c>
      <c r="AX89">
        <f t="shared" si="71"/>
        <v>0.20951435227867743</v>
      </c>
      <c r="AY89">
        <f t="shared" si="72"/>
        <v>0.5312495052459355</v>
      </c>
      <c r="AZ89">
        <f t="shared" si="73"/>
        <v>6.0731561557138978</v>
      </c>
      <c r="BA89">
        <f t="shared" si="74"/>
        <v>3.3043508560687842</v>
      </c>
      <c r="BB89">
        <f t="shared" si="75"/>
        <v>-12.398922205982494</v>
      </c>
    </row>
    <row r="90" spans="1:54" x14ac:dyDescent="0.25">
      <c r="A90" s="1">
        <v>42736</v>
      </c>
      <c r="B90">
        <v>287756</v>
      </c>
      <c r="C90">
        <v>165192</v>
      </c>
      <c r="D90">
        <v>53568</v>
      </c>
      <c r="E90">
        <v>55294</v>
      </c>
      <c r="F90">
        <v>100669</v>
      </c>
      <c r="G90">
        <v>90031</v>
      </c>
      <c r="H90">
        <f>'[1]Sheet 1'!H90</f>
        <v>299840.11745404103</v>
      </c>
      <c r="I90">
        <f>'[1]Sheet 1'!I90</f>
        <v>51515.7033118865</v>
      </c>
      <c r="J90">
        <f>'[1]Sheet 1'!J90</f>
        <v>188816.59921336299</v>
      </c>
      <c r="K90">
        <f>'[1]Sheet 1'!K90</f>
        <v>62363.357976044601</v>
      </c>
      <c r="L90">
        <f>'[1]Sheet 1'!L90</f>
        <v>101977.400835526</v>
      </c>
      <c r="M90">
        <f>'[1]Sheet 1'!M90</f>
        <v>89738.715311339794</v>
      </c>
      <c r="N90">
        <f t="shared" si="43"/>
        <v>-15094.228571439264</v>
      </c>
      <c r="O90">
        <v>18.75</v>
      </c>
      <c r="P90">
        <v>101.22</v>
      </c>
      <c r="R90">
        <f t="shared" si="44"/>
        <v>0.70800739581866701</v>
      </c>
      <c r="S90">
        <f t="shared" si="45"/>
        <v>1.0555037774418967</v>
      </c>
      <c r="T90">
        <f t="shared" si="46"/>
        <v>0.43612010998310302</v>
      </c>
      <c r="U90">
        <f t="shared" si="47"/>
        <v>3.6936833666898559</v>
      </c>
      <c r="V90">
        <f t="shared" si="48"/>
        <v>1.4734868268959931</v>
      </c>
      <c r="W90">
        <f t="shared" si="49"/>
        <v>2.8264055197639935</v>
      </c>
      <c r="X90">
        <f t="shared" si="50"/>
        <v>3.3239936321796661</v>
      </c>
      <c r="Y90">
        <f t="shared" si="51"/>
        <v>0.23436210595841536</v>
      </c>
      <c r="Z90">
        <f t="shared" si="76"/>
        <v>1.2166261124632507</v>
      </c>
      <c r="AA90">
        <f t="shared" si="52"/>
        <v>1</v>
      </c>
      <c r="AB90">
        <f t="shared" si="53"/>
        <v>0.17121977645791905</v>
      </c>
      <c r="AC90">
        <f t="shared" si="54"/>
        <v>0.6314289761061892</v>
      </c>
      <c r="AD90">
        <f t="shared" si="55"/>
        <v>0.20200003936434874</v>
      </c>
      <c r="AE90">
        <f t="shared" si="56"/>
        <v>0.33754028953181786</v>
      </c>
      <c r="AF90">
        <f t="shared" si="57"/>
        <v>0.29312270326019635</v>
      </c>
      <c r="AG90">
        <f t="shared" si="58"/>
        <v>-4.9066378200078593E-2</v>
      </c>
      <c r="AJ90">
        <f t="shared" si="59"/>
        <v>0.56832810458736438</v>
      </c>
      <c r="AK90">
        <f t="shared" si="60"/>
        <v>5.1994528118705099E-2</v>
      </c>
      <c r="AL90">
        <f t="shared" si="61"/>
        <v>0.15503328118799009</v>
      </c>
      <c r="AM90">
        <f t="shared" si="62"/>
        <v>0.39427613646856535</v>
      </c>
      <c r="AN90">
        <f t="shared" si="63"/>
        <v>0.68016125418774886</v>
      </c>
      <c r="AO90">
        <f t="shared" si="64"/>
        <v>-0.59836485918969806</v>
      </c>
      <c r="AP90">
        <f t="shared" si="65"/>
        <v>-0.11477223618597383</v>
      </c>
      <c r="AQ90">
        <f t="shared" si="66"/>
        <v>0.5683281045873374</v>
      </c>
      <c r="AS90">
        <f t="shared" si="67"/>
        <v>0.60130394577526047</v>
      </c>
      <c r="AT90">
        <f t="shared" si="68"/>
        <v>8.1796394998050803E-2</v>
      </c>
      <c r="AV90">
        <f t="shared" si="69"/>
        <v>2.4186261794442867</v>
      </c>
      <c r="AW90">
        <f t="shared" si="70"/>
        <v>3.1270737813706111</v>
      </c>
      <c r="AX90">
        <f t="shared" si="71"/>
        <v>0.5217194180546193</v>
      </c>
      <c r="AY90">
        <f t="shared" si="72"/>
        <v>4.9702428917439496</v>
      </c>
      <c r="AZ90">
        <f t="shared" si="73"/>
        <v>6.4346534395593569</v>
      </c>
      <c r="BA90">
        <f t="shared" si="74"/>
        <v>6.5221210506442997</v>
      </c>
      <c r="BB90">
        <f t="shared" si="75"/>
        <v>-5.7164328939089311</v>
      </c>
    </row>
    <row r="91" spans="1:54" x14ac:dyDescent="0.25">
      <c r="A91" s="1">
        <v>42826</v>
      </c>
      <c r="B91">
        <v>291535</v>
      </c>
      <c r="C91">
        <v>167114</v>
      </c>
      <c r="D91">
        <v>53741</v>
      </c>
      <c r="E91">
        <v>56239</v>
      </c>
      <c r="F91">
        <v>101193</v>
      </c>
      <c r="G91">
        <v>89828</v>
      </c>
      <c r="H91">
        <f>'[1]Sheet 1'!H91</f>
        <v>302975.38818640303</v>
      </c>
      <c r="I91">
        <f>'[1]Sheet 1'!I91</f>
        <v>51951.075934063898</v>
      </c>
      <c r="J91">
        <f>'[1]Sheet 1'!J91</f>
        <v>188926.532224083</v>
      </c>
      <c r="K91">
        <f>'[1]Sheet 1'!K91</f>
        <v>62838.932706950603</v>
      </c>
      <c r="L91">
        <f>'[1]Sheet 1'!L91</f>
        <v>103035.708104987</v>
      </c>
      <c r="M91">
        <f>'[1]Sheet 1'!M91</f>
        <v>89837.820081597398</v>
      </c>
      <c r="N91">
        <f t="shared" si="43"/>
        <v>-13939.040702084094</v>
      </c>
      <c r="O91">
        <v>17.22</v>
      </c>
      <c r="P91">
        <v>101.786666666667</v>
      </c>
      <c r="R91">
        <f t="shared" si="44"/>
        <v>1.0456475134093979</v>
      </c>
      <c r="S91">
        <f t="shared" si="45"/>
        <v>0.84512603766964745</v>
      </c>
      <c r="T91">
        <f t="shared" si="46"/>
        <v>5.8222111391691339E-2</v>
      </c>
      <c r="U91">
        <f t="shared" si="47"/>
        <v>0.76258679189257772</v>
      </c>
      <c r="V91">
        <f t="shared" si="48"/>
        <v>1.0377860788665227</v>
      </c>
      <c r="W91">
        <f t="shared" si="49"/>
        <v>0.11043702811408537</v>
      </c>
      <c r="X91">
        <f t="shared" si="50"/>
        <v>-7.6531759399812795</v>
      </c>
      <c r="Y91">
        <f t="shared" si="51"/>
        <v>0.55983665942205496</v>
      </c>
      <c r="Z91">
        <f t="shared" si="76"/>
        <v>1.8375854593966983</v>
      </c>
      <c r="AA91">
        <f t="shared" si="52"/>
        <v>1</v>
      </c>
      <c r="AB91">
        <f t="shared" si="53"/>
        <v>0.17181057608070988</v>
      </c>
      <c r="AC91">
        <f t="shared" si="54"/>
        <v>0.62972427044324542</v>
      </c>
      <c r="AD91">
        <f t="shared" si="55"/>
        <v>0.20798870579952847</v>
      </c>
      <c r="AE91">
        <f t="shared" si="56"/>
        <v>0.34010592612296758</v>
      </c>
      <c r="AF91">
        <f t="shared" si="57"/>
        <v>0.29928855442465863</v>
      </c>
      <c r="AG91">
        <f t="shared" si="58"/>
        <v>-5.0340924021792653E-2</v>
      </c>
      <c r="AJ91">
        <f t="shared" si="59"/>
        <v>0.70800739581866701</v>
      </c>
      <c r="AK91">
        <f t="shared" si="60"/>
        <v>0.1807231208240907</v>
      </c>
      <c r="AL91">
        <f t="shared" si="61"/>
        <v>0.27537887450594939</v>
      </c>
      <c r="AM91">
        <f t="shared" si="62"/>
        <v>0.74612418547079107</v>
      </c>
      <c r="AN91">
        <f t="shared" si="63"/>
        <v>0.4973611701717931</v>
      </c>
      <c r="AO91">
        <f t="shared" si="64"/>
        <v>-0.82848362646276208</v>
      </c>
      <c r="AP91">
        <f t="shared" si="65"/>
        <v>-0.16309632869118043</v>
      </c>
      <c r="AQ91">
        <f t="shared" si="66"/>
        <v>0.70800739581868177</v>
      </c>
      <c r="AS91">
        <f t="shared" si="67"/>
        <v>1.2022261808008312</v>
      </c>
      <c r="AT91">
        <f t="shared" si="68"/>
        <v>-0.33112245629096898</v>
      </c>
      <c r="AV91">
        <f t="shared" si="69"/>
        <v>3.1483999942331491</v>
      </c>
      <c r="AW91">
        <f t="shared" si="70"/>
        <v>2.9302857142857812</v>
      </c>
      <c r="AX91">
        <f t="shared" si="71"/>
        <v>0.67361774729108226</v>
      </c>
      <c r="AY91">
        <f t="shared" si="72"/>
        <v>5.8136615992292393</v>
      </c>
      <c r="AZ91">
        <f t="shared" si="73"/>
        <v>5.6143027876146032</v>
      </c>
      <c r="BA91">
        <f t="shared" si="74"/>
        <v>4.2000787188740167</v>
      </c>
      <c r="BB91">
        <f t="shared" si="75"/>
        <v>-7.9023862962427245</v>
      </c>
    </row>
    <row r="92" spans="1:54" x14ac:dyDescent="0.25">
      <c r="A92" s="1">
        <v>42917</v>
      </c>
      <c r="B92">
        <v>293175</v>
      </c>
      <c r="C92">
        <v>168065</v>
      </c>
      <c r="D92">
        <v>54044</v>
      </c>
      <c r="E92">
        <v>58240</v>
      </c>
      <c r="F92">
        <v>101818</v>
      </c>
      <c r="G92">
        <v>92074</v>
      </c>
      <c r="H92">
        <f>'[1]Sheet 1'!H92</f>
        <v>304889.41083771002</v>
      </c>
      <c r="I92">
        <f>'[1]Sheet 1'!I92</f>
        <v>52352.969220921303</v>
      </c>
      <c r="J92">
        <f>'[1]Sheet 1'!J92</f>
        <v>190270.089671675</v>
      </c>
      <c r="K92">
        <f>'[1]Sheet 1'!K92</f>
        <v>64826.589284240501</v>
      </c>
      <c r="L92">
        <f>'[1]Sheet 1'!L92</f>
        <v>103998.157638195</v>
      </c>
      <c r="M92">
        <f>'[1]Sheet 1'!M92</f>
        <v>92244.872162515196</v>
      </c>
      <c r="N92">
        <f t="shared" si="43"/>
        <v>-14313.52281480658</v>
      </c>
      <c r="O92">
        <v>16.38</v>
      </c>
      <c r="P92">
        <v>101.773333333333</v>
      </c>
      <c r="R92">
        <f t="shared" si="44"/>
        <v>0.6317419585677394</v>
      </c>
      <c r="S92">
        <f t="shared" si="45"/>
        <v>0.77359954463211922</v>
      </c>
      <c r="T92">
        <f t="shared" si="46"/>
        <v>0.71115339480133277</v>
      </c>
      <c r="U92">
        <f t="shared" si="47"/>
        <v>3.1630972896362435</v>
      </c>
      <c r="V92">
        <f t="shared" si="48"/>
        <v>0.93409319051538953</v>
      </c>
      <c r="W92">
        <f t="shared" si="49"/>
        <v>2.6793304631963841</v>
      </c>
      <c r="X92">
        <f t="shared" si="50"/>
        <v>2.686570193216347</v>
      </c>
      <c r="Y92">
        <f t="shared" si="51"/>
        <v>-1.3099292638855727E-2</v>
      </c>
      <c r="Z92">
        <f t="shared" si="76"/>
        <v>0.78230731143753984</v>
      </c>
      <c r="AA92">
        <f t="shared" si="52"/>
        <v>1</v>
      </c>
      <c r="AB92">
        <f t="shared" si="53"/>
        <v>0.1714696241336324</v>
      </c>
      <c r="AC92">
        <f t="shared" si="54"/>
        <v>0.62357055916320026</v>
      </c>
      <c r="AD92">
        <f t="shared" si="55"/>
        <v>0.20740606384928365</v>
      </c>
      <c r="AE92">
        <f t="shared" si="56"/>
        <v>0.34007946560198865</v>
      </c>
      <c r="AF92">
        <f t="shared" si="57"/>
        <v>0.29651854105827713</v>
      </c>
      <c r="AG92">
        <f t="shared" si="58"/>
        <v>-4.6007171689827882E-2</v>
      </c>
      <c r="AJ92">
        <f t="shared" si="59"/>
        <v>1.0456475134093979</v>
      </c>
      <c r="AK92">
        <f t="shared" si="60"/>
        <v>0.14520159139282984</v>
      </c>
      <c r="AL92">
        <f t="shared" si="61"/>
        <v>3.6663876619798197E-2</v>
      </c>
      <c r="AM92">
        <f t="shared" si="62"/>
        <v>0.1586094399055516</v>
      </c>
      <c r="AN92">
        <f t="shared" si="63"/>
        <v>0.35295719547042181</v>
      </c>
      <c r="AO92">
        <f t="shared" si="64"/>
        <v>-3.3052538499219998E-2</v>
      </c>
      <c r="AP92">
        <f t="shared" si="65"/>
        <v>0.38526794852000917</v>
      </c>
      <c r="AQ92">
        <f t="shared" si="66"/>
        <v>1.0456475134093908</v>
      </c>
      <c r="AS92">
        <f t="shared" si="67"/>
        <v>0.34047490791817964</v>
      </c>
      <c r="AT92">
        <f t="shared" si="68"/>
        <v>0.3199046569712018</v>
      </c>
      <c r="AV92">
        <f t="shared" si="69"/>
        <v>2.9859157615688812</v>
      </c>
      <c r="AW92">
        <f t="shared" si="70"/>
        <v>3.0089628681178398</v>
      </c>
      <c r="AX92">
        <f t="shared" si="71"/>
        <v>1.4569640523841456</v>
      </c>
      <c r="AY92">
        <f t="shared" si="72"/>
        <v>9.9227982922883573</v>
      </c>
      <c r="AZ92">
        <f t="shared" si="73"/>
        <v>5.6001307110738141</v>
      </c>
      <c r="BA92">
        <f t="shared" si="74"/>
        <v>7.8879869322550977</v>
      </c>
      <c r="BB92">
        <f t="shared" si="75"/>
        <v>0.31303995958851877</v>
      </c>
    </row>
    <row r="93" spans="1:54" x14ac:dyDescent="0.25">
      <c r="A93" s="1">
        <v>43009</v>
      </c>
      <c r="B93">
        <v>297558</v>
      </c>
      <c r="C93">
        <v>170084</v>
      </c>
      <c r="D93">
        <v>54445</v>
      </c>
      <c r="E93">
        <v>59150</v>
      </c>
      <c r="F93">
        <v>104663</v>
      </c>
      <c r="G93">
        <v>93899</v>
      </c>
      <c r="H93">
        <f>'[1]Sheet 1'!H93</f>
        <v>306745.27881849097</v>
      </c>
      <c r="I93">
        <f>'[1]Sheet 1'!I93</f>
        <v>52714.414196892903</v>
      </c>
      <c r="J93">
        <f>'[1]Sheet 1'!J93</f>
        <v>190184.92741383601</v>
      </c>
      <c r="K93">
        <f>'[1]Sheet 1'!K93</f>
        <v>66279.517760010698</v>
      </c>
      <c r="L93">
        <f>'[1]Sheet 1'!L93</f>
        <v>105339.477559843</v>
      </c>
      <c r="M93">
        <f>'[1]Sheet 1'!M93</f>
        <v>94394.922351585206</v>
      </c>
      <c r="N93">
        <f t="shared" si="43"/>
        <v>-13378.135760506426</v>
      </c>
      <c r="O93">
        <v>16.55</v>
      </c>
      <c r="P93">
        <v>102.23</v>
      </c>
      <c r="R93">
        <f t="shared" si="44"/>
        <v>0.60870201286485992</v>
      </c>
      <c r="S93">
        <f t="shared" si="45"/>
        <v>0.69040014606690181</v>
      </c>
      <c r="T93">
        <f t="shared" si="46"/>
        <v>-4.4758615495450703E-2</v>
      </c>
      <c r="U93">
        <f t="shared" si="47"/>
        <v>2.2412539234474385</v>
      </c>
      <c r="V93">
        <f t="shared" si="48"/>
        <v>1.2897535418986861</v>
      </c>
      <c r="W93">
        <f t="shared" si="49"/>
        <v>2.3308072727144058</v>
      </c>
      <c r="X93">
        <f t="shared" si="50"/>
        <v>-6.5349883910657258</v>
      </c>
      <c r="Y93">
        <f t="shared" si="51"/>
        <v>0.44870955063573231</v>
      </c>
      <c r="Z93">
        <f t="shared" si="76"/>
        <v>0.99782651649872078</v>
      </c>
      <c r="AA93">
        <f t="shared" si="52"/>
        <v>1</v>
      </c>
      <c r="AB93">
        <f t="shared" si="53"/>
        <v>0.17171133978407774</v>
      </c>
      <c r="AC93">
        <f t="shared" si="54"/>
        <v>0.62406263683901475</v>
      </c>
      <c r="AD93">
        <f t="shared" si="55"/>
        <v>0.21262328890374985</v>
      </c>
      <c r="AE93">
        <f t="shared" si="56"/>
        <v>0.34110124504636308</v>
      </c>
      <c r="AF93">
        <f t="shared" si="57"/>
        <v>0.30255190532548976</v>
      </c>
      <c r="AG93">
        <f t="shared" si="58"/>
        <v>-4.6946605247715684E-2</v>
      </c>
      <c r="AJ93">
        <f t="shared" si="59"/>
        <v>0.6317419585677394</v>
      </c>
      <c r="AK93">
        <f t="shared" si="60"/>
        <v>0.13264882314801865</v>
      </c>
      <c r="AL93">
        <f t="shared" si="61"/>
        <v>0.44345432004707519</v>
      </c>
      <c r="AM93">
        <f t="shared" si="62"/>
        <v>0.65604555841579071</v>
      </c>
      <c r="AN93">
        <f t="shared" si="63"/>
        <v>0.31766591305293024</v>
      </c>
      <c r="AO93">
        <f t="shared" si="64"/>
        <v>-0.79447115995998974</v>
      </c>
      <c r="AP93">
        <f t="shared" si="65"/>
        <v>-0.12360149613607854</v>
      </c>
      <c r="AQ93">
        <f t="shared" si="66"/>
        <v>0.63174195856774651</v>
      </c>
      <c r="AS93">
        <f t="shared" si="67"/>
        <v>1.2321487016108845</v>
      </c>
      <c r="AT93">
        <f t="shared" si="68"/>
        <v>-0.4768052469070595</v>
      </c>
      <c r="AV93">
        <f t="shared" si="69"/>
        <v>3.0272602285118668</v>
      </c>
      <c r="AW93">
        <f t="shared" si="70"/>
        <v>3.4069485715552843</v>
      </c>
      <c r="AX93">
        <f t="shared" si="71"/>
        <v>1.163967005145583</v>
      </c>
      <c r="AY93">
        <f t="shared" si="72"/>
        <v>10.205215872811984</v>
      </c>
      <c r="AZ93">
        <f t="shared" si="73"/>
        <v>4.8189500903325282</v>
      </c>
      <c r="BA93">
        <f t="shared" si="74"/>
        <v>8.1616839627768023</v>
      </c>
      <c r="BB93">
        <f t="shared" si="75"/>
        <v>-8.4231163198029044</v>
      </c>
    </row>
    <row r="94" spans="1:54" x14ac:dyDescent="0.25">
      <c r="A94" s="1">
        <v>43101</v>
      </c>
      <c r="B94">
        <v>298352</v>
      </c>
      <c r="C94">
        <v>171755</v>
      </c>
      <c r="D94">
        <v>54849</v>
      </c>
      <c r="E94">
        <v>59716</v>
      </c>
      <c r="F94">
        <v>104264</v>
      </c>
      <c r="G94">
        <v>95230</v>
      </c>
      <c r="H94">
        <f>'[1]Sheet 1'!H94</f>
        <v>308057.14655604598</v>
      </c>
      <c r="I94">
        <f>'[1]Sheet 1'!I94</f>
        <v>52889.721602513397</v>
      </c>
      <c r="J94">
        <f>'[1]Sheet 1'!J94</f>
        <v>191536.4688231</v>
      </c>
      <c r="K94">
        <f>'[1]Sheet 1'!K94</f>
        <v>65158.336081706402</v>
      </c>
      <c r="L94">
        <f>'[1]Sheet 1'!L94</f>
        <v>105468.20572271101</v>
      </c>
      <c r="M94">
        <f>'[1]Sheet 1'!M94</f>
        <v>94786.435255870107</v>
      </c>
      <c r="N94">
        <f t="shared" si="43"/>
        <v>-12209.150418114717</v>
      </c>
      <c r="O94">
        <v>16.739999999999998</v>
      </c>
      <c r="P94">
        <v>102.44</v>
      </c>
      <c r="R94">
        <f t="shared" si="44"/>
        <v>0.42767332641858491</v>
      </c>
      <c r="S94">
        <f t="shared" si="45"/>
        <v>0.33256066351359775</v>
      </c>
      <c r="T94">
        <f t="shared" si="46"/>
        <v>0.71064591061051319</v>
      </c>
      <c r="U94">
        <f t="shared" si="47"/>
        <v>-1.6915960106468266</v>
      </c>
      <c r="V94">
        <f t="shared" si="48"/>
        <v>0.12220315293938741</v>
      </c>
      <c r="W94">
        <f t="shared" si="49"/>
        <v>0.41476055547422724</v>
      </c>
      <c r="X94">
        <f t="shared" si="50"/>
        <v>-8.7380287008498474</v>
      </c>
      <c r="Y94">
        <f t="shared" si="51"/>
        <v>0.20541915289053483</v>
      </c>
      <c r="Z94">
        <f t="shared" si="76"/>
        <v>0.6418653392713447</v>
      </c>
      <c r="AA94">
        <f t="shared" si="52"/>
        <v>1</v>
      </c>
      <c r="AB94">
        <f t="shared" si="53"/>
        <v>0.17185077599217222</v>
      </c>
      <c r="AC94">
        <f t="shared" si="54"/>
        <v>0.62000930591786974</v>
      </c>
      <c r="AD94">
        <f t="shared" si="55"/>
        <v>0.21607347312826936</v>
      </c>
      <c r="AE94">
        <f t="shared" si="56"/>
        <v>0.34341026523891527</v>
      </c>
      <c r="AF94">
        <f t="shared" si="57"/>
        <v>0.30773064451121052</v>
      </c>
      <c r="AG94">
        <f t="shared" si="58"/>
        <v>-4.3613175766015984E-2</v>
      </c>
      <c r="AJ94">
        <f t="shared" si="59"/>
        <v>0.60870201286485992</v>
      </c>
      <c r="AK94">
        <f t="shared" si="60"/>
        <v>0.11854953406827068</v>
      </c>
      <c r="AL94">
        <f t="shared" si="61"/>
        <v>-2.793217960735455E-2</v>
      </c>
      <c r="AM94">
        <f t="shared" si="62"/>
        <v>0.47654278047182758</v>
      </c>
      <c r="AN94">
        <f t="shared" si="63"/>
        <v>0.43993653894459844</v>
      </c>
      <c r="AO94">
        <f t="shared" si="64"/>
        <v>-0.70519018130625188</v>
      </c>
      <c r="AP94">
        <f t="shared" si="65"/>
        <v>0.30679552029376728</v>
      </c>
      <c r="AQ94">
        <f t="shared" si="66"/>
        <v>0.60870201286485748</v>
      </c>
      <c r="AS94">
        <f t="shared" si="67"/>
        <v>0.56716013493274375</v>
      </c>
      <c r="AT94">
        <f t="shared" si="68"/>
        <v>-0.26525364236165344</v>
      </c>
      <c r="AV94">
        <f t="shared" si="69"/>
        <v>2.7404702118503006</v>
      </c>
      <c r="AW94">
        <f t="shared" si="70"/>
        <v>2.6671834067921223</v>
      </c>
      <c r="AX94">
        <f t="shared" si="71"/>
        <v>1.4404822568928677</v>
      </c>
      <c r="AY94">
        <f t="shared" si="72"/>
        <v>4.4817633244435386</v>
      </c>
      <c r="AZ94">
        <f t="shared" si="73"/>
        <v>3.423116159643194</v>
      </c>
      <c r="BA94">
        <f t="shared" si="74"/>
        <v>5.6249077413441189</v>
      </c>
      <c r="BB94">
        <f t="shared" si="75"/>
        <v>-19.113783388596513</v>
      </c>
    </row>
    <row r="95" spans="1:54" x14ac:dyDescent="0.25">
      <c r="A95" s="1">
        <v>43191</v>
      </c>
      <c r="B95">
        <v>301749</v>
      </c>
      <c r="C95">
        <v>172528</v>
      </c>
      <c r="D95">
        <v>55452</v>
      </c>
      <c r="E95">
        <v>63084</v>
      </c>
      <c r="F95">
        <v>104921</v>
      </c>
      <c r="G95">
        <v>97167</v>
      </c>
      <c r="H95">
        <f>'[1]Sheet 1'!H95</f>
        <v>310065.741123015</v>
      </c>
      <c r="I95">
        <f>'[1]Sheet 1'!I95</f>
        <v>53130.151259536702</v>
      </c>
      <c r="J95">
        <f>'[1]Sheet 1'!J95</f>
        <v>192790.76967353301</v>
      </c>
      <c r="K95">
        <f>'[1]Sheet 1'!K95</f>
        <v>68747.088704129405</v>
      </c>
      <c r="L95">
        <f>'[1]Sheet 1'!L95</f>
        <v>104878.689249577</v>
      </c>
      <c r="M95">
        <f>'[1]Sheet 1'!M95</f>
        <v>95770.532541389897</v>
      </c>
      <c r="N95">
        <f t="shared" si="43"/>
        <v>-13710.425222371225</v>
      </c>
      <c r="O95">
        <v>15.28</v>
      </c>
      <c r="P95">
        <v>104.06333333333301</v>
      </c>
      <c r="R95">
        <f t="shared" si="44"/>
        <v>0.6520201168595825</v>
      </c>
      <c r="S95">
        <f t="shared" si="45"/>
        <v>0.4545867320501833</v>
      </c>
      <c r="T95">
        <f t="shared" si="46"/>
        <v>0.65486267870556725</v>
      </c>
      <c r="U95">
        <f t="shared" si="47"/>
        <v>5.5077413547252423</v>
      </c>
      <c r="V95">
        <f t="shared" si="48"/>
        <v>-0.55895183680655047</v>
      </c>
      <c r="W95">
        <f t="shared" si="49"/>
        <v>1.038225863081865</v>
      </c>
      <c r="X95">
        <f t="shared" si="50"/>
        <v>12.2963085296178</v>
      </c>
      <c r="Y95">
        <f t="shared" si="51"/>
        <v>1.5846674476112925</v>
      </c>
      <c r="Z95">
        <f t="shared" si="76"/>
        <v>2.2500982575658459</v>
      </c>
      <c r="AA95">
        <f t="shared" si="52"/>
        <v>1</v>
      </c>
      <c r="AB95">
        <f t="shared" si="53"/>
        <v>0.17168802020598789</v>
      </c>
      <c r="AC95">
        <f t="shared" si="54"/>
        <v>0.62175629088433781</v>
      </c>
      <c r="AD95">
        <f t="shared" si="55"/>
        <v>0.2115137947947327</v>
      </c>
      <c r="AE95">
        <f t="shared" si="56"/>
        <v>0.34236571656201714</v>
      </c>
      <c r="AF95">
        <f t="shared" si="57"/>
        <v>0.30769107717689403</v>
      </c>
      <c r="AG95">
        <f t="shared" si="58"/>
        <v>-3.9632745270181423E-2</v>
      </c>
      <c r="AJ95">
        <f t="shared" si="59"/>
        <v>0.42767332641858491</v>
      </c>
      <c r="AK95">
        <f t="shared" si="60"/>
        <v>5.7150808089283446E-2</v>
      </c>
      <c r="AL95">
        <f t="shared" si="61"/>
        <v>0.44060707779099678</v>
      </c>
      <c r="AM95">
        <f t="shared" si="62"/>
        <v>-0.36550902515038475</v>
      </c>
      <c r="AN95">
        <f t="shared" si="63"/>
        <v>4.1965817163946761E-2</v>
      </c>
      <c r="AO95">
        <f t="shared" si="64"/>
        <v>-0.12763453305391162</v>
      </c>
      <c r="AP95">
        <f t="shared" si="65"/>
        <v>0.38109318157865668</v>
      </c>
      <c r="AQ95">
        <f t="shared" si="66"/>
        <v>0.42767332641858735</v>
      </c>
      <c r="AS95">
        <f t="shared" si="67"/>
        <v>0.1322488607298955</v>
      </c>
      <c r="AT95">
        <f t="shared" si="68"/>
        <v>-8.5668715889964858E-2</v>
      </c>
      <c r="AV95">
        <f t="shared" si="69"/>
        <v>2.3402405651015115</v>
      </c>
      <c r="AW95">
        <f t="shared" si="70"/>
        <v>2.2695878848963247</v>
      </c>
      <c r="AX95">
        <f t="shared" si="71"/>
        <v>2.0453651501244385</v>
      </c>
      <c r="AY95">
        <f t="shared" si="72"/>
        <v>9.4020629292535727</v>
      </c>
      <c r="AZ95">
        <f t="shared" si="73"/>
        <v>1.7886819807285781</v>
      </c>
      <c r="BA95">
        <f t="shared" si="74"/>
        <v>6.6038027797245835</v>
      </c>
      <c r="BB95">
        <f t="shared" si="75"/>
        <v>-1.6401091337561549</v>
      </c>
    </row>
    <row r="96" spans="1:54" x14ac:dyDescent="0.25">
      <c r="A96" s="1">
        <v>43282</v>
      </c>
      <c r="B96">
        <v>304323</v>
      </c>
      <c r="C96">
        <v>173789</v>
      </c>
      <c r="D96">
        <v>56389</v>
      </c>
      <c r="E96">
        <v>63671</v>
      </c>
      <c r="F96">
        <v>106294</v>
      </c>
      <c r="G96">
        <v>98678</v>
      </c>
      <c r="H96">
        <f>'[1]Sheet 1'!H96</f>
        <v>311796.83063596801</v>
      </c>
      <c r="I96">
        <f>'[1]Sheet 1'!I96</f>
        <v>53125.489579935202</v>
      </c>
      <c r="J96">
        <f>'[1]Sheet 1'!J96</f>
        <v>194252.24409351801</v>
      </c>
      <c r="K96">
        <f>'[1]Sheet 1'!K96</f>
        <v>68570.099293538704</v>
      </c>
      <c r="L96">
        <f>'[1]Sheet 1'!L96</f>
        <v>104839.10706046</v>
      </c>
      <c r="M96">
        <f>'[1]Sheet 1'!M96</f>
        <v>94894.534683494305</v>
      </c>
      <c r="N96">
        <f t="shared" si="43"/>
        <v>-14095.574707989595</v>
      </c>
      <c r="O96">
        <v>14.55</v>
      </c>
      <c r="P96">
        <v>104.08</v>
      </c>
      <c r="R96">
        <f t="shared" si="44"/>
        <v>0.55829757479276665</v>
      </c>
      <c r="S96">
        <f t="shared" si="45"/>
        <v>-8.7740755314784681E-3</v>
      </c>
      <c r="T96">
        <f t="shared" si="46"/>
        <v>0.75806244378806065</v>
      </c>
      <c r="U96">
        <f t="shared" si="47"/>
        <v>-0.25745004468832061</v>
      </c>
      <c r="V96">
        <f t="shared" si="48"/>
        <v>-3.7740926588825545E-2</v>
      </c>
      <c r="W96">
        <f t="shared" si="49"/>
        <v>-0.91468412532529841</v>
      </c>
      <c r="X96">
        <f t="shared" si="50"/>
        <v>2.8091724317195101</v>
      </c>
      <c r="Y96">
        <f t="shared" si="51"/>
        <v>1.6015887760971799E-2</v>
      </c>
      <c r="Z96">
        <f t="shared" si="76"/>
        <v>1.8096449183214265</v>
      </c>
      <c r="AA96">
        <f t="shared" si="52"/>
        <v>1</v>
      </c>
      <c r="AB96">
        <f t="shared" si="53"/>
        <v>0.17135124656824929</v>
      </c>
      <c r="AC96">
        <f t="shared" si="54"/>
        <v>0.62177385020115938</v>
      </c>
      <c r="AD96">
        <f t="shared" si="55"/>
        <v>0.22171778299381611</v>
      </c>
      <c r="AE96">
        <f t="shared" si="56"/>
        <v>0.3382466210866153</v>
      </c>
      <c r="AF96">
        <f t="shared" si="57"/>
        <v>0.3088716998999062</v>
      </c>
      <c r="AG96">
        <f t="shared" si="58"/>
        <v>-4.4217800949933946E-2</v>
      </c>
      <c r="AJ96">
        <f t="shared" si="59"/>
        <v>0.6520201168595825</v>
      </c>
      <c r="AK96">
        <f t="shared" si="60"/>
        <v>7.8047096037605873E-2</v>
      </c>
      <c r="AL96">
        <f t="shared" si="61"/>
        <v>0.40716499015055535</v>
      </c>
      <c r="AM96">
        <f t="shared" si="62"/>
        <v>1.1649632746858181</v>
      </c>
      <c r="AN96">
        <f t="shared" si="63"/>
        <v>-0.19136594613193031</v>
      </c>
      <c r="AO96">
        <f t="shared" si="64"/>
        <v>-0.31945283416456954</v>
      </c>
      <c r="AP96">
        <f t="shared" si="65"/>
        <v>-0.48733646371790135</v>
      </c>
      <c r="AQ96">
        <f t="shared" si="66"/>
        <v>0.65202011685957806</v>
      </c>
      <c r="AS96">
        <f t="shared" si="67"/>
        <v>1.6501753608739793</v>
      </c>
      <c r="AT96">
        <f t="shared" si="68"/>
        <v>-0.51081878029649985</v>
      </c>
      <c r="AV96">
        <f t="shared" si="69"/>
        <v>2.2655492623634452</v>
      </c>
      <c r="AW96">
        <f t="shared" si="70"/>
        <v>1.4755998953067677</v>
      </c>
      <c r="AX96">
        <f t="shared" si="71"/>
        <v>2.0928956457184134</v>
      </c>
      <c r="AY96">
        <f t="shared" si="72"/>
        <v>5.7746521151749981</v>
      </c>
      <c r="AZ96">
        <f t="shared" si="73"/>
        <v>0.80861953842549927</v>
      </c>
      <c r="BA96">
        <f t="shared" si="74"/>
        <v>2.8724225627533921</v>
      </c>
      <c r="BB96">
        <f t="shared" si="75"/>
        <v>-1.5226727175194676</v>
      </c>
    </row>
    <row r="97" spans="1:54" x14ac:dyDescent="0.25">
      <c r="A97" s="1">
        <v>43374</v>
      </c>
      <c r="B97">
        <v>307852</v>
      </c>
      <c r="C97">
        <v>174580</v>
      </c>
      <c r="D97">
        <v>56983</v>
      </c>
      <c r="E97">
        <v>64545</v>
      </c>
      <c r="F97">
        <v>107300</v>
      </c>
      <c r="G97">
        <v>98485</v>
      </c>
      <c r="H97">
        <f>'[1]Sheet 1'!H97</f>
        <v>313621.64515190403</v>
      </c>
      <c r="I97">
        <f>'[1]Sheet 1'!I97</f>
        <v>53171.823849913802</v>
      </c>
      <c r="J97">
        <f>'[1]Sheet 1'!J97</f>
        <v>195559.36192116901</v>
      </c>
      <c r="K97">
        <f>'[1]Sheet 1'!K97</f>
        <v>68482.233146621104</v>
      </c>
      <c r="L97">
        <f>'[1]Sheet 1'!L97</f>
        <v>106047.568503854</v>
      </c>
      <c r="M97">
        <f>'[1]Sheet 1'!M97</f>
        <v>95004.678351429102</v>
      </c>
      <c r="N97">
        <f t="shared" si="43"/>
        <v>-14634.663918224745</v>
      </c>
      <c r="O97">
        <v>14.45</v>
      </c>
      <c r="P97">
        <v>103.59333333333301</v>
      </c>
      <c r="R97">
        <f t="shared" si="44"/>
        <v>0.5852575576903597</v>
      </c>
      <c r="S97">
        <f t="shared" si="45"/>
        <v>8.7216645615818725E-2</v>
      </c>
      <c r="T97">
        <f t="shared" si="46"/>
        <v>0.67289715686461959</v>
      </c>
      <c r="U97">
        <f t="shared" si="47"/>
        <v>-0.12814061496609203</v>
      </c>
      <c r="V97">
        <f t="shared" si="48"/>
        <v>1.1526819307008112</v>
      </c>
      <c r="W97">
        <f t="shared" si="49"/>
        <v>0.11606955901323915</v>
      </c>
      <c r="X97">
        <f t="shared" si="50"/>
        <v>3.8245280621980284</v>
      </c>
      <c r="Y97">
        <f t="shared" si="51"/>
        <v>-0.46758903407666358</v>
      </c>
      <c r="Z97">
        <f t="shared" si="76"/>
        <v>1.1258622933746674</v>
      </c>
      <c r="AA97">
        <f t="shared" si="52"/>
        <v>1</v>
      </c>
      <c r="AB97">
        <f t="shared" si="53"/>
        <v>0.1703849569977213</v>
      </c>
      <c r="AC97">
        <f t="shared" si="54"/>
        <v>0.62300903988441503</v>
      </c>
      <c r="AD97">
        <f t="shared" si="55"/>
        <v>0.21991916708607059</v>
      </c>
      <c r="AE97">
        <f t="shared" si="56"/>
        <v>0.33624173423001447</v>
      </c>
      <c r="AF97">
        <f t="shared" si="57"/>
        <v>0.30434733569914463</v>
      </c>
      <c r="AG97">
        <f t="shared" si="58"/>
        <v>-4.5207562499076821E-2</v>
      </c>
      <c r="AJ97">
        <f t="shared" si="59"/>
        <v>0.55829757479276665</v>
      </c>
      <c r="AK97">
        <f t="shared" si="60"/>
        <v>-1.5034487798028099E-3</v>
      </c>
      <c r="AL97">
        <f t="shared" si="61"/>
        <v>0.47134340436700245</v>
      </c>
      <c r="AM97">
        <f t="shared" si="62"/>
        <v>-5.7081253139953332E-2</v>
      </c>
      <c r="AN97">
        <f t="shared" si="63"/>
        <v>-1.2765740895348238E-2</v>
      </c>
      <c r="AO97">
        <f t="shared" si="64"/>
        <v>0.28252004066068376</v>
      </c>
      <c r="AP97">
        <f t="shared" si="65"/>
        <v>-0.12421542741981521</v>
      </c>
      <c r="AQ97">
        <f t="shared" si="66"/>
        <v>0.55829757479276665</v>
      </c>
      <c r="AS97">
        <f t="shared" si="67"/>
        <v>0.41275870244724633</v>
      </c>
      <c r="AT97">
        <f t="shared" si="68"/>
        <v>0.26975429976533549</v>
      </c>
      <c r="AV97">
        <f t="shared" si="69"/>
        <v>2.2417187185078</v>
      </c>
      <c r="AW97">
        <f t="shared" si="70"/>
        <v>0.86771267401821883</v>
      </c>
      <c r="AX97">
        <f t="shared" si="71"/>
        <v>2.8258992867707207</v>
      </c>
      <c r="AY97">
        <f t="shared" si="72"/>
        <v>3.3233726814159157</v>
      </c>
      <c r="AZ97">
        <f t="shared" si="73"/>
        <v>0.67219902776595142</v>
      </c>
      <c r="BA97">
        <f t="shared" si="74"/>
        <v>0.64596271139753281</v>
      </c>
      <c r="BB97">
        <f t="shared" si="75"/>
        <v>9.3924010057344045</v>
      </c>
    </row>
    <row r="98" spans="1:54" x14ac:dyDescent="0.25">
      <c r="A98" s="1">
        <v>43466</v>
      </c>
      <c r="B98">
        <v>311179</v>
      </c>
      <c r="C98">
        <v>174231</v>
      </c>
      <c r="D98">
        <v>57691</v>
      </c>
      <c r="E98">
        <v>66082</v>
      </c>
      <c r="F98">
        <v>109174</v>
      </c>
      <c r="G98">
        <v>99286</v>
      </c>
      <c r="H98">
        <f>'[1]Sheet 1'!H98</f>
        <v>315544.41923421301</v>
      </c>
      <c r="I98">
        <f>'[1]Sheet 1'!I98</f>
        <v>53072.892649481801</v>
      </c>
      <c r="J98">
        <f>'[1]Sheet 1'!J98</f>
        <v>196686.738252707</v>
      </c>
      <c r="K98">
        <f>'[1]Sheet 1'!K98</f>
        <v>70393.171160276499</v>
      </c>
      <c r="L98">
        <f>'[1]Sheet 1'!L98</f>
        <v>107792.540706261</v>
      </c>
      <c r="M98">
        <f>'[1]Sheet 1'!M98</f>
        <v>96018.376236646203</v>
      </c>
      <c r="N98">
        <f t="shared" si="43"/>
        <v>-16382.547297867117</v>
      </c>
      <c r="O98">
        <v>14.7</v>
      </c>
      <c r="P98">
        <v>103.81</v>
      </c>
      <c r="R98">
        <f t="shared" si="44"/>
        <v>0.61308717431721915</v>
      </c>
      <c r="S98">
        <f t="shared" si="45"/>
        <v>-0.18605944515134809</v>
      </c>
      <c r="T98">
        <f t="shared" si="46"/>
        <v>0.57648803946928517</v>
      </c>
      <c r="U98">
        <f t="shared" si="47"/>
        <v>2.7904142809771688</v>
      </c>
      <c r="V98">
        <f t="shared" si="48"/>
        <v>1.6454617743956956</v>
      </c>
      <c r="W98">
        <f t="shared" si="49"/>
        <v>1.0669978603236363</v>
      </c>
      <c r="X98">
        <f t="shared" si="50"/>
        <v>11.943447348085039</v>
      </c>
      <c r="Y98">
        <f t="shared" si="51"/>
        <v>0.20915116802914865</v>
      </c>
      <c r="Z98">
        <f t="shared" si="76"/>
        <v>-0.24344149396169409</v>
      </c>
      <c r="AA98">
        <f t="shared" si="52"/>
        <v>1</v>
      </c>
      <c r="AB98">
        <f t="shared" si="53"/>
        <v>0.16954130772498116</v>
      </c>
      <c r="AC98">
        <f t="shared" si="54"/>
        <v>0.62355186558137266</v>
      </c>
      <c r="AD98">
        <f t="shared" si="55"/>
        <v>0.21835939644233238</v>
      </c>
      <c r="AE98">
        <f t="shared" si="56"/>
        <v>0.33813855052156683</v>
      </c>
      <c r="AF98">
        <f t="shared" si="57"/>
        <v>0.3029276831495899</v>
      </c>
      <c r="AG98">
        <f t="shared" si="58"/>
        <v>-4.6663437120662961E-2</v>
      </c>
      <c r="AJ98">
        <f t="shared" si="59"/>
        <v>0.5852575576903597</v>
      </c>
      <c r="AK98">
        <f t="shared" si="60"/>
        <v>1.4860404412736771E-2</v>
      </c>
      <c r="AL98">
        <f t="shared" si="61"/>
        <v>0.41922101163917924</v>
      </c>
      <c r="AM98">
        <f t="shared" si="62"/>
        <v>-2.8180577313239832E-2</v>
      </c>
      <c r="AN98">
        <f t="shared" si="63"/>
        <v>0.38757977139444211</v>
      </c>
      <c r="AO98">
        <f t="shared" si="64"/>
        <v>-3.5325461041453975E-2</v>
      </c>
      <c r="AP98">
        <f t="shared" si="65"/>
        <v>-0.17289759140129055</v>
      </c>
      <c r="AQ98">
        <f t="shared" si="66"/>
        <v>0.5852575576903738</v>
      </c>
      <c r="AS98">
        <f t="shared" si="67"/>
        <v>0.40590083873867622</v>
      </c>
      <c r="AT98">
        <f t="shared" si="68"/>
        <v>0.35225431035298815</v>
      </c>
      <c r="AV98">
        <f t="shared" si="69"/>
        <v>2.430481734272913</v>
      </c>
      <c r="AW98">
        <f t="shared" si="70"/>
        <v>0.34632635872997186</v>
      </c>
      <c r="AX98">
        <f t="shared" si="71"/>
        <v>2.6889236609889169</v>
      </c>
      <c r="AY98">
        <f t="shared" si="72"/>
        <v>8.034022035194063</v>
      </c>
      <c r="AZ98">
        <f t="shared" si="73"/>
        <v>2.2038252832905516</v>
      </c>
      <c r="BA98">
        <f t="shared" si="74"/>
        <v>1.2997017742576227</v>
      </c>
      <c r="BB98">
        <f t="shared" si="75"/>
        <v>34.182533074212358</v>
      </c>
    </row>
    <row r="99" spans="1:54" x14ac:dyDescent="0.25">
      <c r="A99" s="1">
        <v>43556</v>
      </c>
      <c r="B99">
        <v>311955</v>
      </c>
      <c r="C99">
        <v>173249</v>
      </c>
      <c r="D99">
        <v>58322</v>
      </c>
      <c r="E99">
        <v>65262</v>
      </c>
      <c r="F99">
        <v>111212</v>
      </c>
      <c r="G99">
        <v>99481</v>
      </c>
      <c r="H99">
        <f>'[1]Sheet 1'!H99</f>
        <v>316454.28575414798</v>
      </c>
      <c r="I99">
        <f>'[1]Sheet 1'!I99</f>
        <v>52593.775579326597</v>
      </c>
      <c r="J99">
        <f>'[1]Sheet 1'!J99</f>
        <v>197441.32498923401</v>
      </c>
      <c r="K99">
        <f>'[1]Sheet 1'!K99</f>
        <v>70389.0439139425</v>
      </c>
      <c r="L99">
        <f>'[1]Sheet 1'!L99</f>
        <v>110190.705077337</v>
      </c>
      <c r="M99">
        <f>'[1]Sheet 1'!M99</f>
        <v>96035.956703317395</v>
      </c>
      <c r="N99">
        <f t="shared" si="43"/>
        <v>-18124.607102374735</v>
      </c>
      <c r="O99">
        <v>14.02</v>
      </c>
      <c r="P99">
        <v>104.823333333333</v>
      </c>
      <c r="R99">
        <f t="shared" si="44"/>
        <v>0.2883481578102684</v>
      </c>
      <c r="S99">
        <f t="shared" si="45"/>
        <v>-0.90275288614757987</v>
      </c>
      <c r="T99">
        <f t="shared" si="46"/>
        <v>0.38364901631420706</v>
      </c>
      <c r="U99">
        <f t="shared" si="47"/>
        <v>-5.8631345426987279E-3</v>
      </c>
      <c r="V99">
        <f t="shared" si="48"/>
        <v>2.2247962200010578</v>
      </c>
      <c r="W99">
        <f t="shared" si="49"/>
        <v>1.8309481330806177E-2</v>
      </c>
      <c r="X99">
        <f t="shared" si="50"/>
        <v>10.633632077072786</v>
      </c>
      <c r="Y99">
        <f t="shared" si="51"/>
        <v>0.97614231127347484</v>
      </c>
      <c r="Z99">
        <f t="shared" si="76"/>
        <v>0.71419420958205071</v>
      </c>
      <c r="AA99">
        <f t="shared" si="52"/>
        <v>1</v>
      </c>
      <c r="AB99">
        <f t="shared" si="53"/>
        <v>0.16819468009696734</v>
      </c>
      <c r="AC99">
        <f t="shared" si="54"/>
        <v>0.62332504162184588</v>
      </c>
      <c r="AD99">
        <f t="shared" si="55"/>
        <v>0.22308482378205882</v>
      </c>
      <c r="AE99">
        <f t="shared" si="56"/>
        <v>0.34160813545002655</v>
      </c>
      <c r="AF99">
        <f t="shared" si="57"/>
        <v>0.30429432556491043</v>
      </c>
      <c r="AG99">
        <f t="shared" si="58"/>
        <v>-5.1918355385988185E-2</v>
      </c>
      <c r="AJ99">
        <f t="shared" si="59"/>
        <v>0.61308717431721915</v>
      </c>
      <c r="AK99">
        <f t="shared" si="60"/>
        <v>-3.1544761645543963E-2</v>
      </c>
      <c r="AL99">
        <f t="shared" si="61"/>
        <v>0.35947019249642076</v>
      </c>
      <c r="AM99">
        <f t="shared" si="62"/>
        <v>0.60931317821823949</v>
      </c>
      <c r="AN99">
        <f t="shared" si="63"/>
        <v>0.55639405933280595</v>
      </c>
      <c r="AO99">
        <f t="shared" si="64"/>
        <v>-0.32322318975340886</v>
      </c>
      <c r="AP99">
        <f t="shared" si="65"/>
        <v>-0.55732230433131502</v>
      </c>
      <c r="AQ99">
        <f t="shared" si="66"/>
        <v>0.61308717431719828</v>
      </c>
      <c r="AS99">
        <f t="shared" si="67"/>
        <v>0.93723860906911627</v>
      </c>
      <c r="AT99">
        <f t="shared" si="68"/>
        <v>0.23317086957939709</v>
      </c>
      <c r="AV99">
        <f t="shared" si="69"/>
        <v>2.0603839069722931</v>
      </c>
      <c r="AW99">
        <f t="shared" si="70"/>
        <v>-1.0095504482755024</v>
      </c>
      <c r="AX99">
        <f t="shared" si="71"/>
        <v>2.4122292387628996</v>
      </c>
      <c r="AY99">
        <f t="shared" si="72"/>
        <v>2.3883996264622454</v>
      </c>
      <c r="AZ99">
        <f t="shared" si="73"/>
        <v>5.0649143937326846</v>
      </c>
      <c r="BA99">
        <f t="shared" si="74"/>
        <v>0.27714596012378612</v>
      </c>
      <c r="BB99">
        <f t="shared" si="75"/>
        <v>32.195805807692345</v>
      </c>
    </row>
    <row r="100" spans="1:54" x14ac:dyDescent="0.25">
      <c r="A100" s="1">
        <v>43647</v>
      </c>
      <c r="B100">
        <v>312955</v>
      </c>
      <c r="C100">
        <v>179095</v>
      </c>
      <c r="D100">
        <v>58713</v>
      </c>
      <c r="E100">
        <v>65642</v>
      </c>
      <c r="F100">
        <v>107310</v>
      </c>
      <c r="G100">
        <v>101277</v>
      </c>
      <c r="H100">
        <f>'[1]Sheet 1'!H100</f>
        <v>317060.67523128801</v>
      </c>
      <c r="I100">
        <f>'[1]Sheet 1'!I100</f>
        <v>54456.234299311698</v>
      </c>
      <c r="J100">
        <f>'[1]Sheet 1'!J100</f>
        <v>198078.199470333</v>
      </c>
      <c r="K100">
        <f>'[1]Sheet 1'!K100</f>
        <v>71500.260502350095</v>
      </c>
      <c r="L100">
        <f>'[1]Sheet 1'!L100</f>
        <v>106488.30757485</v>
      </c>
      <c r="M100">
        <f>'[1]Sheet 1'!M100</f>
        <v>98138.662286794002</v>
      </c>
      <c r="N100">
        <f t="shared" si="43"/>
        <v>-15323.664328762796</v>
      </c>
      <c r="O100">
        <v>13.92</v>
      </c>
      <c r="P100">
        <v>104.37333333333299</v>
      </c>
      <c r="R100">
        <f t="shared" ref="R100:R123" si="77">((H100-H99)/H99)*100</f>
        <v>0.19161992882951151</v>
      </c>
      <c r="S100">
        <f t="shared" ref="S100:S123" si="78">((I100-I99)/I99)*100</f>
        <v>3.5412150952653625</v>
      </c>
      <c r="T100">
        <f t="shared" ref="T100:T123" si="79">((J100-J99)/J99)*100</f>
        <v>0.32256392177965559</v>
      </c>
      <c r="U100">
        <f t="shared" ref="U100:U121" si="80">((K100-K99)/K99)*100</f>
        <v>1.5786783377341591</v>
      </c>
      <c r="V100">
        <f t="shared" ref="V100:V121" si="81">((L100-L99)/L99)*100</f>
        <v>-3.3599907541098726</v>
      </c>
      <c r="W100">
        <f t="shared" ref="W100:W123" si="82">((M100-M99)/M99)*100</f>
        <v>2.1894982417600808</v>
      </c>
      <c r="X100">
        <f t="shared" si="50"/>
        <v>-15.453812365648204</v>
      </c>
      <c r="Y100">
        <f t="shared" si="51"/>
        <v>-0.42929373231151235</v>
      </c>
      <c r="Z100">
        <f t="shared" si="76"/>
        <v>0.75294420490378022</v>
      </c>
      <c r="AA100">
        <f t="shared" si="52"/>
        <v>1</v>
      </c>
      <c r="AB100">
        <f t="shared" si="53"/>
        <v>0.16619707157382752</v>
      </c>
      <c r="AC100">
        <f t="shared" si="54"/>
        <v>0.62391736777622708</v>
      </c>
      <c r="AD100">
        <f t="shared" si="55"/>
        <v>0.2224303701439754</v>
      </c>
      <c r="AE100">
        <f t="shared" si="56"/>
        <v>0.34820417999629716</v>
      </c>
      <c r="AF100">
        <f t="shared" si="57"/>
        <v>0.30347497577557642</v>
      </c>
      <c r="AG100">
        <f t="shared" si="58"/>
        <v>-5.7274013714750785E-2</v>
      </c>
      <c r="AJ100">
        <f t="shared" si="59"/>
        <v>0.2883481578102684</v>
      </c>
      <c r="AK100">
        <f t="shared" si="60"/>
        <v>-0.15183823289220616</v>
      </c>
      <c r="AL100">
        <f t="shared" si="61"/>
        <v>0.23913803906223335</v>
      </c>
      <c r="AM100">
        <f t="shared" si="62"/>
        <v>-1.3079763362684477E-3</v>
      </c>
      <c r="AN100">
        <f t="shared" si="63"/>
        <v>0.76000848847082847</v>
      </c>
      <c r="AO100">
        <f t="shared" si="64"/>
        <v>-5.5714712730009844E-3</v>
      </c>
      <c r="AP100">
        <f t="shared" si="65"/>
        <v>-0.5520806892213086</v>
      </c>
      <c r="AQ100">
        <f t="shared" si="66"/>
        <v>0.28834815781027767</v>
      </c>
      <c r="AS100">
        <f t="shared" si="67"/>
        <v>8.5991829833758748E-2</v>
      </c>
      <c r="AT100">
        <f t="shared" si="68"/>
        <v>0.75443701719782752</v>
      </c>
      <c r="AV100">
        <f t="shared" si="69"/>
        <v>1.688229025478996</v>
      </c>
      <c r="AW100">
        <f t="shared" si="70"/>
        <v>2.5049081521859544</v>
      </c>
      <c r="AX100">
        <f t="shared" si="71"/>
        <v>1.9695810437963743</v>
      </c>
      <c r="AY100">
        <f t="shared" si="72"/>
        <v>4.2732346007955933</v>
      </c>
      <c r="AZ100">
        <f t="shared" si="73"/>
        <v>1.5730776049427049</v>
      </c>
      <c r="BA100">
        <f t="shared" si="74"/>
        <v>3.4186664322871403</v>
      </c>
      <c r="BB100">
        <f t="shared" si="75"/>
        <v>8.7125899171539256</v>
      </c>
    </row>
    <row r="101" spans="1:54" x14ac:dyDescent="0.25">
      <c r="A101" s="1">
        <v>43739</v>
      </c>
      <c r="B101">
        <v>317621</v>
      </c>
      <c r="C101">
        <v>179883</v>
      </c>
      <c r="D101">
        <v>59401</v>
      </c>
      <c r="E101">
        <v>65150</v>
      </c>
      <c r="F101">
        <v>107035</v>
      </c>
      <c r="G101">
        <v>97265</v>
      </c>
      <c r="H101">
        <f>'[1]Sheet 1'!H101</f>
        <v>318869.96301480301</v>
      </c>
      <c r="I101">
        <f>'[1]Sheet 1'!I101</f>
        <v>54312.475634428803</v>
      </c>
      <c r="J101">
        <f>'[1]Sheet 1'!J101</f>
        <v>198870.65884556199</v>
      </c>
      <c r="K101">
        <f>'[1]Sheet 1'!K101</f>
        <v>70536.310262617699</v>
      </c>
      <c r="L101">
        <f>'[1]Sheet 1'!L101</f>
        <v>106302.013141288</v>
      </c>
      <c r="M101">
        <f>'[1]Sheet 1'!M101</f>
        <v>95278.115935374095</v>
      </c>
      <c r="N101">
        <f t="shared" si="43"/>
        <v>-15873.378933719359</v>
      </c>
      <c r="O101">
        <v>13.78</v>
      </c>
      <c r="P101">
        <v>104.43666666666699</v>
      </c>
      <c r="R101">
        <f t="shared" si="77"/>
        <v>0.57064402016906324</v>
      </c>
      <c r="S101">
        <f t="shared" si="78"/>
        <v>-0.26398936087417213</v>
      </c>
      <c r="T101">
        <f t="shared" si="79"/>
        <v>0.40007399973750501</v>
      </c>
      <c r="U101">
        <f t="shared" si="80"/>
        <v>-1.3481772415370603</v>
      </c>
      <c r="V101">
        <f t="shared" si="81"/>
        <v>-0.17494355747090118</v>
      </c>
      <c r="W101">
        <f t="shared" si="82"/>
        <v>-2.9148006349021078</v>
      </c>
      <c r="X101">
        <f t="shared" si="50"/>
        <v>3.5873573915655363</v>
      </c>
      <c r="Y101">
        <f t="shared" si="51"/>
        <v>6.0679611651124829E-2</v>
      </c>
      <c r="Z101">
        <f t="shared" si="76"/>
        <v>0.6036669556564801</v>
      </c>
      <c r="AA101">
        <f t="shared" si="52"/>
        <v>1</v>
      </c>
      <c r="AB101">
        <f t="shared" si="53"/>
        <v>0.17175335370615485</v>
      </c>
      <c r="AC101">
        <f t="shared" si="54"/>
        <v>0.62473278758344852</v>
      </c>
      <c r="AD101">
        <f t="shared" si="55"/>
        <v>0.22550970867072179</v>
      </c>
      <c r="AE101">
        <f t="shared" si="56"/>
        <v>0.3358609751813888</v>
      </c>
      <c r="AF101">
        <f t="shared" si="57"/>
        <v>0.3095264406890077</v>
      </c>
      <c r="AG101">
        <f t="shared" si="58"/>
        <v>-4.8330384452706272E-2</v>
      </c>
      <c r="AJ101">
        <f t="shared" si="59"/>
        <v>0.19161992882951151</v>
      </c>
      <c r="AK101">
        <f t="shared" si="60"/>
        <v>0.58853957864613582</v>
      </c>
      <c r="AL101">
        <f t="shared" si="61"/>
        <v>0.20125323301633952</v>
      </c>
      <c r="AM101">
        <f t="shared" si="62"/>
        <v>0.35114600700048482</v>
      </c>
      <c r="AN101">
        <f t="shared" si="63"/>
        <v>-1.1699628253299683</v>
      </c>
      <c r="AO101">
        <f t="shared" si="64"/>
        <v>-0.6644579258788077</v>
      </c>
      <c r="AP101">
        <f t="shared" si="65"/>
        <v>0.88510186137532054</v>
      </c>
      <c r="AQ101">
        <f t="shared" si="66"/>
        <v>0.19161992882950463</v>
      </c>
      <c r="AS101">
        <f t="shared" si="67"/>
        <v>1.1409388186629601</v>
      </c>
      <c r="AT101">
        <f t="shared" si="68"/>
        <v>-1.834420751208776</v>
      </c>
      <c r="AV101">
        <f t="shared" si="69"/>
        <v>1.6734552426561435</v>
      </c>
      <c r="AW101">
        <f t="shared" si="70"/>
        <v>2.1452184670863987</v>
      </c>
      <c r="AX101">
        <f t="shared" si="71"/>
        <v>1.6932438784126247</v>
      </c>
      <c r="AY101">
        <f t="shared" si="72"/>
        <v>2.999430686786742</v>
      </c>
      <c r="AZ101">
        <f t="shared" si="73"/>
        <v>0.23993443793551669</v>
      </c>
      <c r="BA101">
        <f t="shared" si="74"/>
        <v>0.2878148620571378</v>
      </c>
      <c r="BB101">
        <f t="shared" si="75"/>
        <v>8.4642532443264731</v>
      </c>
    </row>
    <row r="102" spans="1:54" x14ac:dyDescent="0.25">
      <c r="A102" s="1">
        <v>43831</v>
      </c>
      <c r="B102">
        <v>301564</v>
      </c>
      <c r="C102">
        <v>169314</v>
      </c>
      <c r="D102">
        <v>60051</v>
      </c>
      <c r="E102">
        <v>62658</v>
      </c>
      <c r="F102">
        <v>99155</v>
      </c>
      <c r="G102">
        <v>92887</v>
      </c>
      <c r="H102">
        <f>'[1]Sheet 1'!H102</f>
        <v>302360.81188671401</v>
      </c>
      <c r="I102">
        <f>'[1]Sheet 1'!I102</f>
        <v>51106.9352248086</v>
      </c>
      <c r="J102">
        <f>'[1]Sheet 1'!J102</f>
        <v>200922.53699537399</v>
      </c>
      <c r="K102">
        <f>'[1]Sheet 1'!K102</f>
        <v>68417.046763633101</v>
      </c>
      <c r="L102">
        <f>'[1]Sheet 1'!L102</f>
        <v>98434.708861303094</v>
      </c>
      <c r="M102">
        <f>'[1]Sheet 1'!M102</f>
        <v>91074.094851831993</v>
      </c>
      <c r="N102">
        <f t="shared" si="43"/>
        <v>-25446.321106572781</v>
      </c>
      <c r="O102">
        <v>14.41</v>
      </c>
      <c r="P102">
        <v>103.896666666667</v>
      </c>
      <c r="R102">
        <f t="shared" si="77"/>
        <v>-5.1773929949377475</v>
      </c>
      <c r="S102">
        <f t="shared" si="78"/>
        <v>-5.9020333213980845</v>
      </c>
      <c r="T102">
        <f t="shared" si="79"/>
        <v>1.0317651491291286</v>
      </c>
      <c r="U102">
        <f t="shared" si="80"/>
        <v>-3.0045000810139464</v>
      </c>
      <c r="V102">
        <f t="shared" si="81"/>
        <v>-7.4008986730367221</v>
      </c>
      <c r="W102">
        <f t="shared" si="82"/>
        <v>-4.4123679842637058</v>
      </c>
      <c r="X102">
        <f t="shared" si="50"/>
        <v>60.30815627111312</v>
      </c>
      <c r="Y102">
        <f t="shared" si="51"/>
        <v>-0.5170597810475156</v>
      </c>
      <c r="Z102">
        <f t="shared" si="76"/>
        <v>-0.88402709320380068</v>
      </c>
      <c r="AA102">
        <f t="shared" si="52"/>
        <v>1</v>
      </c>
      <c r="AB102">
        <f t="shared" si="53"/>
        <v>0.17032797671164604</v>
      </c>
      <c r="AC102">
        <f t="shared" si="54"/>
        <v>0.62367322705879868</v>
      </c>
      <c r="AD102">
        <f t="shared" si="55"/>
        <v>0.22120713282531151</v>
      </c>
      <c r="AE102">
        <f t="shared" si="56"/>
        <v>0.33337104610368429</v>
      </c>
      <c r="AF102">
        <f t="shared" si="57"/>
        <v>0.29879928179673343</v>
      </c>
      <c r="AG102">
        <f t="shared" si="58"/>
        <v>-4.9780100902707049E-2</v>
      </c>
      <c r="AJ102">
        <f t="shared" si="59"/>
        <v>0.57064402016906324</v>
      </c>
      <c r="AK102">
        <f t="shared" si="60"/>
        <v>-4.5341058072883446E-2</v>
      </c>
      <c r="AL102">
        <f t="shared" si="61"/>
        <v>0.24993934509567137</v>
      </c>
      <c r="AM102">
        <f t="shared" si="62"/>
        <v>-0.30402705697551979</v>
      </c>
      <c r="AN102">
        <f t="shared" si="63"/>
        <v>-5.8756713813878203E-2</v>
      </c>
      <c r="AO102">
        <f t="shared" si="64"/>
        <v>0.90220786583930923</v>
      </c>
      <c r="AP102">
        <f t="shared" si="65"/>
        <v>-0.17337836190361994</v>
      </c>
      <c r="AQ102">
        <f t="shared" si="66"/>
        <v>0.57064402016907922</v>
      </c>
      <c r="AS102">
        <f t="shared" si="67"/>
        <v>-9.9428769952731866E-2</v>
      </c>
      <c r="AT102">
        <f t="shared" si="68"/>
        <v>0.84345115202543108</v>
      </c>
      <c r="AV102">
        <f t="shared" si="69"/>
        <v>-4.1780511851529392</v>
      </c>
      <c r="AW102">
        <f t="shared" si="70"/>
        <v>-3.7042590417245633</v>
      </c>
      <c r="AX102">
        <f t="shared" si="71"/>
        <v>2.1535761792057113</v>
      </c>
      <c r="AY102">
        <f t="shared" si="72"/>
        <v>-2.8072671880969935</v>
      </c>
      <c r="AZ102">
        <f t="shared" si="73"/>
        <v>-8.6813352609049037</v>
      </c>
      <c r="BA102">
        <f t="shared" si="74"/>
        <v>-5.1493074332235844</v>
      </c>
      <c r="BB102">
        <f t="shared" si="75"/>
        <v>55.325790574007371</v>
      </c>
    </row>
    <row r="103" spans="1:54" x14ac:dyDescent="0.25">
      <c r="A103" s="1">
        <v>43922</v>
      </c>
      <c r="B103">
        <v>247347</v>
      </c>
      <c r="C103">
        <v>130904</v>
      </c>
      <c r="D103">
        <v>60822</v>
      </c>
      <c r="E103">
        <v>49954</v>
      </c>
      <c r="F103">
        <v>67652</v>
      </c>
      <c r="G103">
        <v>65211</v>
      </c>
      <c r="H103">
        <f>'[1]Sheet 1'!H103</f>
        <v>248569.717779336</v>
      </c>
      <c r="I103">
        <f>'[1]Sheet 1'!I103</f>
        <v>39943.201420319798</v>
      </c>
      <c r="J103">
        <f>'[1]Sheet 1'!J103</f>
        <v>202780.95761235399</v>
      </c>
      <c r="K103">
        <f>'[1]Sheet 1'!K103</f>
        <v>53519.019238198598</v>
      </c>
      <c r="L103">
        <f>'[1]Sheet 1'!L103</f>
        <v>68024.057155536197</v>
      </c>
      <c r="M103">
        <f>'[1]Sheet 1'!M103</f>
        <v>65334.574483472701</v>
      </c>
      <c r="N103">
        <f t="shared" si="43"/>
        <v>-50362.943163599863</v>
      </c>
      <c r="O103">
        <v>15.33</v>
      </c>
      <c r="P103">
        <v>104.17</v>
      </c>
      <c r="R103">
        <f t="shared" si="77"/>
        <v>-17.790365679905637</v>
      </c>
      <c r="S103">
        <f t="shared" si="78"/>
        <v>-21.843872569117867</v>
      </c>
      <c r="T103">
        <f t="shared" si="79"/>
        <v>0.92494383396263291</v>
      </c>
      <c r="U103">
        <f t="shared" si="80"/>
        <v>-21.775315115404119</v>
      </c>
      <c r="V103">
        <f t="shared" si="81"/>
        <v>-30.894236451307279</v>
      </c>
      <c r="W103">
        <f t="shared" si="82"/>
        <v>-28.262175331234189</v>
      </c>
      <c r="X103">
        <f t="shared" si="50"/>
        <v>97.918366873831204</v>
      </c>
      <c r="Y103">
        <f t="shared" si="51"/>
        <v>0.26308190830600781</v>
      </c>
      <c r="Z103">
        <f t="shared" si="76"/>
        <v>-0.19481349003544271</v>
      </c>
      <c r="AA103">
        <f t="shared" si="52"/>
        <v>1</v>
      </c>
      <c r="AB103">
        <f t="shared" si="53"/>
        <v>0.16902631960108941</v>
      </c>
      <c r="AC103">
        <f t="shared" si="54"/>
        <v>0.66451249334075058</v>
      </c>
      <c r="AD103">
        <f t="shared" si="55"/>
        <v>0.22627617096512831</v>
      </c>
      <c r="AE103">
        <f t="shared" si="56"/>
        <v>0.32555379199796491</v>
      </c>
      <c r="AF103">
        <f t="shared" si="57"/>
        <v>0.30120998248263359</v>
      </c>
      <c r="AG103">
        <f t="shared" si="58"/>
        <v>-8.4158793422299691E-2</v>
      </c>
      <c r="AJ103">
        <f t="shared" si="59"/>
        <v>-5.1773929949377475</v>
      </c>
      <c r="AK103">
        <f t="shared" si="60"/>
        <v>-1.005281394118452</v>
      </c>
      <c r="AL103">
        <f t="shared" si="61"/>
        <v>0.64348430012416635</v>
      </c>
      <c r="AM103">
        <f t="shared" si="62"/>
        <v>-0.66461684849451119</v>
      </c>
      <c r="AN103">
        <f t="shared" si="63"/>
        <v>-2.4672453327376211</v>
      </c>
      <c r="AO103">
        <f t="shared" si="64"/>
        <v>1.3184123847208957</v>
      </c>
      <c r="AP103">
        <f t="shared" si="65"/>
        <v>-3.002146104432236</v>
      </c>
      <c r="AQ103">
        <f t="shared" si="66"/>
        <v>-5.1773929949377582</v>
      </c>
      <c r="AS103">
        <f t="shared" si="67"/>
        <v>-1.0264139424887968</v>
      </c>
      <c r="AT103">
        <f t="shared" si="68"/>
        <v>-1.1488329480167254</v>
      </c>
      <c r="AV103">
        <f t="shared" si="69"/>
        <v>-21.45161909026924</v>
      </c>
      <c r="AW103">
        <f t="shared" si="70"/>
        <v>-24.053367569943866</v>
      </c>
      <c r="AX103">
        <f t="shared" si="71"/>
        <v>2.7044149057504225</v>
      </c>
      <c r="AY103">
        <f t="shared" si="72"/>
        <v>-23.966833100289243</v>
      </c>
      <c r="AZ103">
        <f t="shared" si="73"/>
        <v>-38.266973509431921</v>
      </c>
      <c r="BA103">
        <f t="shared" si="74"/>
        <v>-31.968632659838093</v>
      </c>
      <c r="BB103">
        <f t="shared" si="75"/>
        <v>177.87053743637384</v>
      </c>
    </row>
    <row r="104" spans="1:54" x14ac:dyDescent="0.25">
      <c r="A104" s="1">
        <v>44013</v>
      </c>
      <c r="B104">
        <v>287632</v>
      </c>
      <c r="C104">
        <v>159536</v>
      </c>
      <c r="D104">
        <v>61836</v>
      </c>
      <c r="E104">
        <v>59813</v>
      </c>
      <c r="F104">
        <v>86548</v>
      </c>
      <c r="G104">
        <v>83280</v>
      </c>
      <c r="H104">
        <f>'[1]Sheet 1'!H104</f>
        <v>288097.95548376499</v>
      </c>
      <c r="I104">
        <f>'[1]Sheet 1'!I104</f>
        <v>48454.345356204001</v>
      </c>
      <c r="J104">
        <f>'[1]Sheet 1'!J104</f>
        <v>205744.03097764999</v>
      </c>
      <c r="K104">
        <f>'[1]Sheet 1'!K104</f>
        <v>65165.8443406839</v>
      </c>
      <c r="L104">
        <f>'[1]Sheet 1'!L104</f>
        <v>86763.900400107799</v>
      </c>
      <c r="M104">
        <f>'[1]Sheet 1'!M104</f>
        <v>82846.763528204305</v>
      </c>
      <c r="N104">
        <f t="shared" si="43"/>
        <v>-35183.402062676432</v>
      </c>
      <c r="O104">
        <v>16.260000000000002</v>
      </c>
      <c r="P104">
        <v>103.643333333333</v>
      </c>
      <c r="R104">
        <f t="shared" si="77"/>
        <v>15.902274041087974</v>
      </c>
      <c r="S104">
        <f t="shared" si="78"/>
        <v>21.308116608686348</v>
      </c>
      <c r="T104">
        <f t="shared" si="79"/>
        <v>1.4612187456774717</v>
      </c>
      <c r="U104">
        <f t="shared" si="80"/>
        <v>21.762030149783669</v>
      </c>
      <c r="V104">
        <f t="shared" si="81"/>
        <v>27.548846728919997</v>
      </c>
      <c r="W104">
        <f t="shared" si="82"/>
        <v>26.803861788617844</v>
      </c>
      <c r="X104">
        <f t="shared" si="50"/>
        <v>-30.140297900410516</v>
      </c>
      <c r="Y104">
        <f t="shared" si="51"/>
        <v>-0.50558382131803559</v>
      </c>
      <c r="Z104">
        <f t="shared" si="76"/>
        <v>-0.75963103635439766</v>
      </c>
      <c r="AA104">
        <f t="shared" si="52"/>
        <v>1</v>
      </c>
      <c r="AB104">
        <f t="shared" si="53"/>
        <v>0.16069214615989053</v>
      </c>
      <c r="AC104">
        <f t="shared" si="54"/>
        <v>0.81579107633846903</v>
      </c>
      <c r="AD104">
        <f t="shared" si="55"/>
        <v>0.21530788108996163</v>
      </c>
      <c r="AE104">
        <f t="shared" si="56"/>
        <v>0.2736618835280793</v>
      </c>
      <c r="AF104">
        <f t="shared" si="57"/>
        <v>0.26284205118449899</v>
      </c>
      <c r="AG104">
        <f t="shared" si="58"/>
        <v>-0.20261093593190141</v>
      </c>
      <c r="AJ104">
        <f t="shared" si="59"/>
        <v>-17.790365679905637</v>
      </c>
      <c r="AK104">
        <f t="shared" si="60"/>
        <v>-3.6921893861931867</v>
      </c>
      <c r="AL104">
        <f t="shared" si="61"/>
        <v>0.61463673330666246</v>
      </c>
      <c r="AM104">
        <f t="shared" si="62"/>
        <v>-4.9272349258727255</v>
      </c>
      <c r="AN104">
        <f t="shared" si="63"/>
        <v>-10.057735827604835</v>
      </c>
      <c r="AO104">
        <f t="shared" si="64"/>
        <v>8.5128493364421693</v>
      </c>
      <c r="AP104">
        <f t="shared" si="65"/>
        <v>-8.2406916099837133</v>
      </c>
      <c r="AQ104">
        <f t="shared" si="66"/>
        <v>-17.79036567990563</v>
      </c>
      <c r="AS104">
        <f t="shared" si="67"/>
        <v>-8.0047875787592488</v>
      </c>
      <c r="AT104">
        <f t="shared" si="68"/>
        <v>-1.5448864911626661</v>
      </c>
      <c r="AV104">
        <f t="shared" si="69"/>
        <v>-9.1347562186308426</v>
      </c>
      <c r="AW104">
        <f t="shared" si="70"/>
        <v>-11.021490964871139</v>
      </c>
      <c r="AX104">
        <f t="shared" si="71"/>
        <v>3.8701035892973863</v>
      </c>
      <c r="AY104">
        <f t="shared" si="72"/>
        <v>-8.8592910251816406</v>
      </c>
      <c r="AZ104">
        <f t="shared" si="73"/>
        <v>-18.522603677289197</v>
      </c>
      <c r="BA104">
        <f t="shared" si="74"/>
        <v>-15.581931118952545</v>
      </c>
      <c r="BB104">
        <f t="shared" si="75"/>
        <v>129.60175391362853</v>
      </c>
    </row>
    <row r="105" spans="1:54" x14ac:dyDescent="0.25">
      <c r="A105" s="1">
        <v>44105</v>
      </c>
      <c r="B105">
        <v>292671</v>
      </c>
      <c r="C105">
        <v>160929</v>
      </c>
      <c r="D105">
        <v>62844</v>
      </c>
      <c r="E105">
        <v>60494</v>
      </c>
      <c r="F105">
        <v>90841</v>
      </c>
      <c r="G105">
        <v>85700</v>
      </c>
      <c r="H105">
        <f>'[1]Sheet 1'!H105</f>
        <v>290188.41827623302</v>
      </c>
      <c r="I105">
        <f>'[1]Sheet 1'!I105</f>
        <v>48846.2089687673</v>
      </c>
      <c r="J105">
        <f>'[1]Sheet 1'!J105</f>
        <v>209420.33825234999</v>
      </c>
      <c r="K105">
        <f>'[1]Sheet 1'!K105</f>
        <v>65469.481089057503</v>
      </c>
      <c r="L105">
        <f>'[1]Sheet 1'!L105</f>
        <v>90970.282427941202</v>
      </c>
      <c r="M105">
        <f>'[1]Sheet 1'!M105</f>
        <v>87822.9350618639</v>
      </c>
      <c r="N105">
        <f t="shared" si="43"/>
        <v>-36694.957400019077</v>
      </c>
      <c r="O105">
        <v>16.13</v>
      </c>
      <c r="P105">
        <v>104.09</v>
      </c>
      <c r="R105">
        <f t="shared" si="77"/>
        <v>0.72560834003760466</v>
      </c>
      <c r="S105">
        <f t="shared" si="78"/>
        <v>0.80872749323632109</v>
      </c>
      <c r="T105">
        <f t="shared" si="79"/>
        <v>1.7868354465648408</v>
      </c>
      <c r="U105">
        <f t="shared" si="80"/>
        <v>0.46594462397541381</v>
      </c>
      <c r="V105">
        <f t="shared" si="81"/>
        <v>4.8480785308588734</v>
      </c>
      <c r="W105">
        <f t="shared" si="82"/>
        <v>6.0064766826594385</v>
      </c>
      <c r="X105">
        <f t="shared" si="50"/>
        <v>4.2962171044458097</v>
      </c>
      <c r="Y105">
        <f t="shared" si="51"/>
        <v>0.43096516900942416</v>
      </c>
      <c r="Z105">
        <f t="shared" si="76"/>
        <v>0.18608232538708386</v>
      </c>
      <c r="AA105">
        <f t="shared" si="52"/>
        <v>1</v>
      </c>
      <c r="AB105">
        <f t="shared" si="53"/>
        <v>0.16818705039000015</v>
      </c>
      <c r="AC105">
        <f t="shared" si="54"/>
        <v>0.71414609878841773</v>
      </c>
      <c r="AD105">
        <f t="shared" si="55"/>
        <v>0.22619335923873349</v>
      </c>
      <c r="AE105">
        <f t="shared" si="56"/>
        <v>0.3011611111728183</v>
      </c>
      <c r="AF105">
        <f t="shared" si="57"/>
        <v>0.28756456597927132</v>
      </c>
      <c r="AG105">
        <f t="shared" si="58"/>
        <v>-0.12212305361069839</v>
      </c>
      <c r="AJ105">
        <f t="shared" si="59"/>
        <v>15.902274041087974</v>
      </c>
      <c r="AK105">
        <f t="shared" si="60"/>
        <v>3.4240469884750175</v>
      </c>
      <c r="AL105">
        <f t="shared" si="61"/>
        <v>1.1920492133021723</v>
      </c>
      <c r="AM105">
        <f t="shared" si="62"/>
        <v>4.6855365997657819</v>
      </c>
      <c r="AN105">
        <f t="shared" si="63"/>
        <v>7.5390692848626131</v>
      </c>
      <c r="AO105">
        <f t="shared" si="64"/>
        <v>-7.0451820121861282</v>
      </c>
      <c r="AP105">
        <f t="shared" si="65"/>
        <v>6.1067539668684976</v>
      </c>
      <c r="AQ105">
        <f t="shared" si="66"/>
        <v>15.902274041087955</v>
      </c>
      <c r="AS105">
        <f t="shared" si="67"/>
        <v>9.3016328015429721</v>
      </c>
      <c r="AT105">
        <f t="shared" si="68"/>
        <v>0.49388727267648491</v>
      </c>
      <c r="AV105">
        <f t="shared" si="69"/>
        <v>-8.9947464688727994</v>
      </c>
      <c r="AW105">
        <f t="shared" si="70"/>
        <v>-10.064477087095666</v>
      </c>
      <c r="AX105">
        <f t="shared" si="71"/>
        <v>5.3047943160788824</v>
      </c>
      <c r="AY105">
        <f t="shared" si="72"/>
        <v>-7.1832920586512108</v>
      </c>
      <c r="AZ105">
        <f t="shared" si="73"/>
        <v>-14.42280372712143</v>
      </c>
      <c r="BA105">
        <f t="shared" si="74"/>
        <v>-7.8246518629387545</v>
      </c>
      <c r="BB105">
        <f t="shared" si="75"/>
        <v>131.17294404198364</v>
      </c>
    </row>
    <row r="106" spans="1:54" x14ac:dyDescent="0.25">
      <c r="A106" s="1">
        <v>44197</v>
      </c>
      <c r="B106">
        <v>298714</v>
      </c>
      <c r="C106">
        <v>163003</v>
      </c>
      <c r="D106">
        <v>63970</v>
      </c>
      <c r="E106">
        <v>63843</v>
      </c>
      <c r="F106">
        <v>94260</v>
      </c>
      <c r="G106">
        <v>89746</v>
      </c>
      <c r="H106">
        <f>'[1]Sheet 1'!H106</f>
        <v>293675.72237823799</v>
      </c>
      <c r="I106">
        <f>'[1]Sheet 1'!I106</f>
        <v>48821.393765232002</v>
      </c>
      <c r="J106">
        <f>'[1]Sheet 1'!J106</f>
        <v>211082.23058200901</v>
      </c>
      <c r="K106">
        <f>'[1]Sheet 1'!K106</f>
        <v>64915.643664803698</v>
      </c>
      <c r="L106">
        <f>'[1]Sheet 1'!L106</f>
        <v>92553.139751441602</v>
      </c>
      <c r="M106">
        <f>'[1]Sheet 1'!M106</f>
        <v>89125.116139712001</v>
      </c>
      <c r="N106">
        <f t="shared" si="43"/>
        <v>-34571.569245536339</v>
      </c>
      <c r="O106">
        <v>16.14</v>
      </c>
      <c r="P106">
        <v>104.96</v>
      </c>
      <c r="R106">
        <f t="shared" si="77"/>
        <v>1.2017378649086452</v>
      </c>
      <c r="S106">
        <f t="shared" si="78"/>
        <v>-5.0802721560571536E-2</v>
      </c>
      <c r="T106">
        <f t="shared" si="79"/>
        <v>0.79356778024895247</v>
      </c>
      <c r="U106">
        <f t="shared" si="80"/>
        <v>-0.84594747818517935</v>
      </c>
      <c r="V106">
        <f t="shared" si="81"/>
        <v>1.7399718691147334</v>
      </c>
      <c r="W106">
        <f t="shared" si="82"/>
        <v>1.4827346375190307</v>
      </c>
      <c r="X106">
        <f t="shared" si="50"/>
        <v>-5.7865938672043109</v>
      </c>
      <c r="Y106">
        <f t="shared" si="51"/>
        <v>0.8358151599577196</v>
      </c>
      <c r="Z106">
        <f t="shared" si="76"/>
        <v>0.75837573197656916</v>
      </c>
      <c r="AA106">
        <f t="shared" si="52"/>
        <v>1</v>
      </c>
      <c r="AB106">
        <f t="shared" si="53"/>
        <v>0.16832583898048661</v>
      </c>
      <c r="AC106">
        <f t="shared" si="54"/>
        <v>0.72167021515311081</v>
      </c>
      <c r="AD106">
        <f t="shared" si="55"/>
        <v>0.22561024825855214</v>
      </c>
      <c r="AE106">
        <f t="shared" si="56"/>
        <v>0.31348695088632295</v>
      </c>
      <c r="AF106">
        <f t="shared" si="57"/>
        <v>0.30264107569677173</v>
      </c>
      <c r="AG106">
        <f t="shared" si="58"/>
        <v>-0.12645217758170077</v>
      </c>
      <c r="AJ106">
        <f t="shared" si="59"/>
        <v>0.72560834003760466</v>
      </c>
      <c r="AK106">
        <f t="shared" si="60"/>
        <v>0.13601749165671564</v>
      </c>
      <c r="AL106">
        <f t="shared" si="61"/>
        <v>1.2760615633411414</v>
      </c>
      <c r="AM106">
        <f t="shared" si="62"/>
        <v>0.10539357971622737</v>
      </c>
      <c r="AN106">
        <f t="shared" si="63"/>
        <v>1.4600527174065427</v>
      </c>
      <c r="AO106">
        <f t="shared" si="64"/>
        <v>-1.7272498603135749</v>
      </c>
      <c r="AP106">
        <f t="shared" si="65"/>
        <v>-0.52466715176943501</v>
      </c>
      <c r="AQ106">
        <f t="shared" si="66"/>
        <v>0.72560834003761698</v>
      </c>
      <c r="AS106">
        <f t="shared" si="67"/>
        <v>1.5174726347140843</v>
      </c>
      <c r="AT106">
        <f t="shared" si="68"/>
        <v>-0.26719714290703211</v>
      </c>
      <c r="AV106">
        <f t="shared" si="69"/>
        <v>-2.8724256474513248</v>
      </c>
      <c r="AW106">
        <f t="shared" si="70"/>
        <v>-4.4720769295262652</v>
      </c>
      <c r="AX106">
        <f t="shared" si="71"/>
        <v>5.0565226472672604</v>
      </c>
      <c r="AY106">
        <f t="shared" si="72"/>
        <v>-5.1177349278550928</v>
      </c>
      <c r="AZ106">
        <f t="shared" si="73"/>
        <v>-5.9750967701329474</v>
      </c>
      <c r="BA106">
        <f t="shared" si="74"/>
        <v>-2.1399924043063789</v>
      </c>
      <c r="BB106">
        <f t="shared" si="75"/>
        <v>35.860775711922095</v>
      </c>
    </row>
    <row r="107" spans="1:54" x14ac:dyDescent="0.25">
      <c r="A107" s="1">
        <v>44287</v>
      </c>
      <c r="B107">
        <v>301107</v>
      </c>
      <c r="C107">
        <v>166292</v>
      </c>
      <c r="D107">
        <v>64542</v>
      </c>
      <c r="E107">
        <v>63722</v>
      </c>
      <c r="F107">
        <v>98935</v>
      </c>
      <c r="G107">
        <v>95880</v>
      </c>
      <c r="H107">
        <f>'[1]Sheet 1'!H107</f>
        <v>297701.66294317797</v>
      </c>
      <c r="I107">
        <f>'[1]Sheet 1'!I107</f>
        <v>50236.095805108402</v>
      </c>
      <c r="J107">
        <f>'[1]Sheet 1'!J107</f>
        <v>212396.104069536</v>
      </c>
      <c r="K107">
        <f>'[1]Sheet 1'!K107</f>
        <v>63922.188493003901</v>
      </c>
      <c r="L107">
        <f>'[1]Sheet 1'!L107</f>
        <v>95002.158630710197</v>
      </c>
      <c r="M107">
        <f>'[1]Sheet 1'!M107</f>
        <v>92565.163734379006</v>
      </c>
      <c r="N107">
        <f t="shared" si="43"/>
        <v>-31289.720320801564</v>
      </c>
      <c r="O107">
        <v>15.39</v>
      </c>
      <c r="P107">
        <v>106.863333333333</v>
      </c>
      <c r="R107">
        <f t="shared" si="77"/>
        <v>1.3708795988777029</v>
      </c>
      <c r="S107">
        <f t="shared" si="78"/>
        <v>2.897709243368376</v>
      </c>
      <c r="T107">
        <f t="shared" si="79"/>
        <v>0.62244627788151274</v>
      </c>
      <c r="U107">
        <f t="shared" si="80"/>
        <v>-1.5303786818005984</v>
      </c>
      <c r="V107">
        <f t="shared" si="81"/>
        <v>2.646067854473245</v>
      </c>
      <c r="W107">
        <f t="shared" si="82"/>
        <v>3.8597959179928663</v>
      </c>
      <c r="X107">
        <f t="shared" si="50"/>
        <v>-9.4929128077068903</v>
      </c>
      <c r="Y107">
        <f t="shared" si="51"/>
        <v>1.8133892276419679</v>
      </c>
      <c r="Z107">
        <f t="shared" si="76"/>
        <v>3.106808606438757</v>
      </c>
      <c r="AA107">
        <f t="shared" si="52"/>
        <v>1</v>
      </c>
      <c r="AB107">
        <f t="shared" si="53"/>
        <v>0.16624252549672036</v>
      </c>
      <c r="AC107">
        <f t="shared" si="54"/>
        <v>0.71875955176896389</v>
      </c>
      <c r="AD107">
        <f t="shared" si="55"/>
        <v>0.22104531875874969</v>
      </c>
      <c r="AE107">
        <f t="shared" si="56"/>
        <v>0.31515420819238954</v>
      </c>
      <c r="AF107">
        <f t="shared" si="57"/>
        <v>0.3034813889890558</v>
      </c>
      <c r="AG107">
        <f t="shared" si="58"/>
        <v>-0.11772021522776772</v>
      </c>
      <c r="AJ107">
        <f t="shared" si="59"/>
        <v>1.2017378649086452</v>
      </c>
      <c r="AK107">
        <f t="shared" si="60"/>
        <v>-8.5514107291752607E-3</v>
      </c>
      <c r="AL107">
        <f t="shared" si="61"/>
        <v>0.57269423071083814</v>
      </c>
      <c r="AM107">
        <f t="shared" si="62"/>
        <v>-0.19085442056705443</v>
      </c>
      <c r="AN107">
        <f t="shared" si="63"/>
        <v>0.545458475876754</v>
      </c>
      <c r="AO107">
        <f t="shared" si="64"/>
        <v>-0.44873640567162237</v>
      </c>
      <c r="AP107">
        <f t="shared" si="65"/>
        <v>0.73172739528890007</v>
      </c>
      <c r="AQ107">
        <f t="shared" si="66"/>
        <v>1.2017378649086401</v>
      </c>
      <c r="AS107">
        <f t="shared" si="67"/>
        <v>0.3732883994146084</v>
      </c>
      <c r="AT107">
        <f t="shared" si="68"/>
        <v>9.6722070205131627E-2</v>
      </c>
      <c r="AV107">
        <f t="shared" si="69"/>
        <v>19.765861104391689</v>
      </c>
      <c r="AW107">
        <f t="shared" si="70"/>
        <v>25.76882678100116</v>
      </c>
      <c r="AX107">
        <f t="shared" si="71"/>
        <v>4.7416417056096538</v>
      </c>
      <c r="AY107">
        <f t="shared" si="72"/>
        <v>19.438265877974381</v>
      </c>
      <c r="AZ107">
        <f t="shared" si="73"/>
        <v>39.659647782385122</v>
      </c>
      <c r="BA107">
        <f t="shared" si="74"/>
        <v>41.678681565140771</v>
      </c>
      <c r="BB107">
        <f t="shared" si="75"/>
        <v>-37.87154134507292</v>
      </c>
    </row>
    <row r="108" spans="1:54" x14ac:dyDescent="0.25">
      <c r="A108" s="1">
        <v>44378</v>
      </c>
      <c r="B108">
        <v>310566</v>
      </c>
      <c r="C108">
        <v>171716</v>
      </c>
      <c r="D108">
        <v>65002</v>
      </c>
      <c r="E108">
        <v>68042</v>
      </c>
      <c r="F108">
        <v>106582</v>
      </c>
      <c r="G108">
        <v>104302</v>
      </c>
      <c r="H108">
        <f>'[1]Sheet 1'!H108</f>
        <v>303569.92088605702</v>
      </c>
      <c r="I108">
        <f>'[1]Sheet 1'!I108</f>
        <v>51052.737313482001</v>
      </c>
      <c r="J108">
        <f>'[1]Sheet 1'!J108</f>
        <v>213043.00968196799</v>
      </c>
      <c r="K108">
        <f>'[1]Sheet 1'!K108</f>
        <v>63935.769946169603</v>
      </c>
      <c r="L108">
        <f>'[1]Sheet 1'!L108</f>
        <v>99413.0773183946</v>
      </c>
      <c r="M108">
        <f>'[1]Sheet 1'!M108</f>
        <v>94941.143362575807</v>
      </c>
      <c r="N108">
        <f t="shared" si="43"/>
        <v>-28933.530011381357</v>
      </c>
      <c r="O108">
        <v>14.71</v>
      </c>
      <c r="P108">
        <v>108.04</v>
      </c>
      <c r="R108">
        <f t="shared" si="77"/>
        <v>1.9711874918210037</v>
      </c>
      <c r="S108">
        <f t="shared" si="78"/>
        <v>1.6256070367047843</v>
      </c>
      <c r="T108">
        <f t="shared" si="79"/>
        <v>0.30457508402329314</v>
      </c>
      <c r="U108">
        <f t="shared" si="80"/>
        <v>2.1246852596712929E-2</v>
      </c>
      <c r="V108">
        <f t="shared" si="81"/>
        <v>4.642966803344339</v>
      </c>
      <c r="W108">
        <f t="shared" si="82"/>
        <v>2.566818371341955</v>
      </c>
      <c r="X108">
        <f t="shared" si="50"/>
        <v>-7.5302376795416706</v>
      </c>
      <c r="Y108">
        <f t="shared" si="51"/>
        <v>1.1010948563589074</v>
      </c>
      <c r="Z108">
        <f t="shared" si="76"/>
        <v>3.7947929676241743</v>
      </c>
      <c r="AA108">
        <f t="shared" si="52"/>
        <v>1</v>
      </c>
      <c r="AB108">
        <f t="shared" si="53"/>
        <v>0.16874644000459252</v>
      </c>
      <c r="AC108">
        <f t="shared" si="54"/>
        <v>0.71345286408452424</v>
      </c>
      <c r="AD108">
        <f t="shared" si="55"/>
        <v>0.21471895004229341</v>
      </c>
      <c r="AE108">
        <f t="shared" si="56"/>
        <v>0.31911866964896052</v>
      </c>
      <c r="AF108">
        <f t="shared" si="57"/>
        <v>0.31093263913694302</v>
      </c>
      <c r="AG108">
        <f t="shared" si="58"/>
        <v>-0.10510428464342775</v>
      </c>
      <c r="AJ108">
        <f t="shared" si="59"/>
        <v>1.3708795988777029</v>
      </c>
      <c r="AK108">
        <f t="shared" si="60"/>
        <v>0.48172250277274953</v>
      </c>
      <c r="AL108">
        <f t="shared" si="61"/>
        <v>0.44738920769037605</v>
      </c>
      <c r="AM108">
        <f t="shared" si="62"/>
        <v>-0.33828304354020844</v>
      </c>
      <c r="AN108">
        <f t="shared" si="63"/>
        <v>0.8339194194998506</v>
      </c>
      <c r="AO108">
        <f t="shared" si="64"/>
        <v>-1.1713762264067629</v>
      </c>
      <c r="AP108">
        <f t="shared" si="65"/>
        <v>1.1175077388616879</v>
      </c>
      <c r="AQ108">
        <f t="shared" si="66"/>
        <v>1.3708795988776927</v>
      </c>
      <c r="AS108">
        <f t="shared" si="67"/>
        <v>0.59082866692291713</v>
      </c>
      <c r="AT108">
        <f t="shared" si="68"/>
        <v>-0.33745680690691227</v>
      </c>
      <c r="AV108">
        <f t="shared" si="69"/>
        <v>5.3703836170277546</v>
      </c>
      <c r="AW108">
        <f t="shared" si="70"/>
        <v>5.3625571415243698</v>
      </c>
      <c r="AX108">
        <f t="shared" si="71"/>
        <v>3.5476016823598084</v>
      </c>
      <c r="AY108">
        <f t="shared" si="72"/>
        <v>-1.8876060104178611</v>
      </c>
      <c r="AZ108">
        <f t="shared" si="73"/>
        <v>14.578847723483722</v>
      </c>
      <c r="BA108">
        <f t="shared" si="74"/>
        <v>14.598494038036982</v>
      </c>
      <c r="BB108">
        <f t="shared" si="75"/>
        <v>-17.763694483442578</v>
      </c>
    </row>
    <row r="109" spans="1:54" x14ac:dyDescent="0.25">
      <c r="A109" s="1">
        <v>44470</v>
      </c>
      <c r="B109">
        <v>325087</v>
      </c>
      <c r="C109">
        <v>178577</v>
      </c>
      <c r="D109">
        <v>65927</v>
      </c>
      <c r="E109">
        <v>74641</v>
      </c>
      <c r="F109">
        <v>117283</v>
      </c>
      <c r="G109">
        <v>114906</v>
      </c>
      <c r="H109">
        <f>'[1]Sheet 1'!H109</f>
        <v>309736.85669989302</v>
      </c>
      <c r="I109">
        <f>'[1]Sheet 1'!I109</f>
        <v>51880.256074259101</v>
      </c>
      <c r="J109">
        <f>'[1]Sheet 1'!J109</f>
        <v>212046.03805774599</v>
      </c>
      <c r="K109">
        <f>'[1]Sheet 1'!K109</f>
        <v>64735.784124634498</v>
      </c>
      <c r="L109">
        <f>'[1]Sheet 1'!L109</f>
        <v>103304.09255684901</v>
      </c>
      <c r="M109">
        <f>'[1]Sheet 1'!M109</f>
        <v>99447.139624798801</v>
      </c>
      <c r="N109">
        <f t="shared" si="43"/>
        <v>-22782.174488796794</v>
      </c>
      <c r="O109">
        <v>13.44</v>
      </c>
      <c r="P109">
        <v>110.42</v>
      </c>
      <c r="R109">
        <f t="shared" si="77"/>
        <v>2.0314712985515833</v>
      </c>
      <c r="S109">
        <f t="shared" si="78"/>
        <v>1.620909679525782</v>
      </c>
      <c r="T109">
        <f t="shared" si="79"/>
        <v>-0.46796730186561286</v>
      </c>
      <c r="U109">
        <f t="shared" si="80"/>
        <v>1.2512779296135212</v>
      </c>
      <c r="V109">
        <f t="shared" si="81"/>
        <v>3.9139873177776008</v>
      </c>
      <c r="W109">
        <f t="shared" si="82"/>
        <v>4.7460943723995443</v>
      </c>
      <c r="X109">
        <f t="shared" si="50"/>
        <v>-21.260300834930451</v>
      </c>
      <c r="Y109">
        <f t="shared" si="51"/>
        <v>2.2028878193261709</v>
      </c>
      <c r="Z109">
        <f t="shared" si="76"/>
        <v>5.2019817073170813</v>
      </c>
      <c r="AA109">
        <f t="shared" si="52"/>
        <v>1</v>
      </c>
      <c r="AB109">
        <f t="shared" si="53"/>
        <v>0.16817455815276347</v>
      </c>
      <c r="AC109">
        <f t="shared" si="54"/>
        <v>0.7017922232220507</v>
      </c>
      <c r="AD109">
        <f t="shared" si="55"/>
        <v>0.21061299406592879</v>
      </c>
      <c r="AE109">
        <f t="shared" si="56"/>
        <v>0.32747999877006473</v>
      </c>
      <c r="AF109">
        <f t="shared" si="57"/>
        <v>0.31274884904756867</v>
      </c>
      <c r="AG109">
        <f t="shared" si="58"/>
        <v>-9.5310925163238983E-2</v>
      </c>
      <c r="AJ109">
        <f t="shared" si="59"/>
        <v>1.9711874918210037</v>
      </c>
      <c r="AK109">
        <f t="shared" si="60"/>
        <v>0.27431540029034734</v>
      </c>
      <c r="AL109">
        <f t="shared" si="61"/>
        <v>0.2172999660252031</v>
      </c>
      <c r="AM109">
        <f t="shared" si="62"/>
        <v>4.5621018812695754E-3</v>
      </c>
      <c r="AN109">
        <f t="shared" si="63"/>
        <v>1.4816573895075325</v>
      </c>
      <c r="AO109">
        <f t="shared" si="64"/>
        <v>-0.79810761038654388</v>
      </c>
      <c r="AP109">
        <f t="shared" si="65"/>
        <v>0.79146024450321262</v>
      </c>
      <c r="AQ109">
        <f t="shared" si="66"/>
        <v>1.9711874918210213</v>
      </c>
      <c r="AS109">
        <f t="shared" si="67"/>
        <v>0.49617746819682007</v>
      </c>
      <c r="AT109">
        <f t="shared" si="68"/>
        <v>0.68354977912098858</v>
      </c>
      <c r="AV109">
        <f t="shared" si="69"/>
        <v>6.7364640325003124</v>
      </c>
      <c r="AW109">
        <f t="shared" si="70"/>
        <v>6.2114280095550471</v>
      </c>
      <c r="AX109">
        <f t="shared" si="71"/>
        <v>1.2537940809894255</v>
      </c>
      <c r="AY109">
        <f t="shared" si="72"/>
        <v>-1.1206701996384605</v>
      </c>
      <c r="AZ109">
        <f t="shared" si="73"/>
        <v>13.558065117229445</v>
      </c>
      <c r="BA109">
        <f t="shared" si="74"/>
        <v>13.235955453716757</v>
      </c>
      <c r="BB109">
        <f t="shared" si="75"/>
        <v>-37.914699721698135</v>
      </c>
    </row>
    <row r="110" spans="1:54" x14ac:dyDescent="0.25">
      <c r="A110" s="1">
        <v>44562</v>
      </c>
      <c r="B110">
        <v>331851</v>
      </c>
      <c r="C110">
        <v>183259</v>
      </c>
      <c r="D110">
        <v>67297</v>
      </c>
      <c r="E110">
        <v>75436</v>
      </c>
      <c r="F110">
        <v>124784</v>
      </c>
      <c r="G110">
        <v>122677</v>
      </c>
      <c r="H110">
        <f>'[1]Sheet 1'!H110</f>
        <v>314605.19307478803</v>
      </c>
      <c r="I110">
        <f>'[1]Sheet 1'!I110</f>
        <v>52382.916980785601</v>
      </c>
      <c r="J110">
        <f>'[1]Sheet 1'!J110</f>
        <v>212899.912522762</v>
      </c>
      <c r="K110">
        <f>'[1]Sheet 1'!K110</f>
        <v>66297.4560698766</v>
      </c>
      <c r="L110">
        <f>'[1]Sheet 1'!L110</f>
        <v>105826.338485984</v>
      </c>
      <c r="M110">
        <f>'[1]Sheet 1'!M110</f>
        <v>100077.91041503601</v>
      </c>
      <c r="N110">
        <f t="shared" si="43"/>
        <v>-22723.520569584158</v>
      </c>
      <c r="O110">
        <v>13.73</v>
      </c>
      <c r="P110">
        <v>113.956666666667</v>
      </c>
      <c r="R110">
        <f t="shared" si="77"/>
        <v>1.5717652806207638</v>
      </c>
      <c r="S110">
        <f t="shared" si="78"/>
        <v>0.96888671059567177</v>
      </c>
      <c r="T110">
        <f t="shared" si="79"/>
        <v>0.40268352704777921</v>
      </c>
      <c r="U110">
        <f t="shared" si="80"/>
        <v>2.4123782021940858</v>
      </c>
      <c r="V110">
        <f t="shared" si="81"/>
        <v>2.4415740622734621</v>
      </c>
      <c r="W110">
        <f t="shared" si="82"/>
        <v>0.63427745897672116</v>
      </c>
      <c r="X110">
        <f t="shared" si="50"/>
        <v>-0.25745531552082435</v>
      </c>
      <c r="Y110">
        <f t="shared" si="51"/>
        <v>3.2029221759346158</v>
      </c>
      <c r="Z110">
        <f t="shared" si="76"/>
        <v>6.6377616270008639</v>
      </c>
      <c r="AA110">
        <f t="shared" si="52"/>
        <v>1</v>
      </c>
      <c r="AB110">
        <f t="shared" si="53"/>
        <v>0.16749784519356176</v>
      </c>
      <c r="AC110">
        <f t="shared" si="54"/>
        <v>0.68460060038382653</v>
      </c>
      <c r="AD110">
        <f t="shared" si="55"/>
        <v>0.20900252173527289</v>
      </c>
      <c r="AE110">
        <f t="shared" si="56"/>
        <v>0.33352211828294404</v>
      </c>
      <c r="AF110">
        <f t="shared" si="57"/>
        <v>0.32106976445865493</v>
      </c>
      <c r="AG110">
        <f t="shared" si="58"/>
        <v>-7.3553321136950317E-2</v>
      </c>
      <c r="AJ110">
        <f t="shared" si="59"/>
        <v>2.0314712985515833</v>
      </c>
      <c r="AK110">
        <f t="shared" si="60"/>
        <v>0.27259576915978584</v>
      </c>
      <c r="AL110">
        <f t="shared" si="61"/>
        <v>-0.32841581317149299</v>
      </c>
      <c r="AM110">
        <f t="shared" si="62"/>
        <v>0.26353539116452018</v>
      </c>
      <c r="AN110">
        <f t="shared" si="63"/>
        <v>1.2817525620118577</v>
      </c>
      <c r="AO110">
        <f t="shared" si="64"/>
        <v>-1.4843355524391002</v>
      </c>
      <c r="AP110">
        <f t="shared" si="65"/>
        <v>2.0263389418260034</v>
      </c>
      <c r="AQ110">
        <f t="shared" si="66"/>
        <v>2.0314712985515739</v>
      </c>
      <c r="AS110">
        <f t="shared" si="67"/>
        <v>0.20771534715281303</v>
      </c>
      <c r="AT110">
        <f t="shared" si="68"/>
        <v>-0.20258299042724248</v>
      </c>
      <c r="AV110">
        <f t="shared" si="69"/>
        <v>7.1267282589992389</v>
      </c>
      <c r="AW110">
        <f t="shared" si="70"/>
        <v>7.2950052034154069</v>
      </c>
      <c r="AX110">
        <f t="shared" si="71"/>
        <v>0.86112503915708982</v>
      </c>
      <c r="AY110">
        <f t="shared" si="72"/>
        <v>2.1286277498964403</v>
      </c>
      <c r="AZ110">
        <f t="shared" si="73"/>
        <v>14.341165270231318</v>
      </c>
      <c r="BA110">
        <f t="shared" si="74"/>
        <v>12.289234224564117</v>
      </c>
      <c r="BB110">
        <f t="shared" si="75"/>
        <v>-34.271075726427796</v>
      </c>
    </row>
    <row r="111" spans="1:54" x14ac:dyDescent="0.25">
      <c r="A111" s="1">
        <v>44652</v>
      </c>
      <c r="B111">
        <v>338571</v>
      </c>
      <c r="C111">
        <v>188092</v>
      </c>
      <c r="D111">
        <v>67810</v>
      </c>
      <c r="E111">
        <v>77399</v>
      </c>
      <c r="F111">
        <v>137280</v>
      </c>
      <c r="G111">
        <v>135820</v>
      </c>
      <c r="H111">
        <f>'[1]Sheet 1'!H111</f>
        <v>319957.39889280201</v>
      </c>
      <c r="I111">
        <f>'[1]Sheet 1'!I111</f>
        <v>53209.493988107897</v>
      </c>
      <c r="J111">
        <f>'[1]Sheet 1'!J111</f>
        <v>211320.11169645301</v>
      </c>
      <c r="K111">
        <f>'[1]Sheet 1'!K111</f>
        <v>65972.080960075094</v>
      </c>
      <c r="L111">
        <f>'[1]Sheet 1'!L111</f>
        <v>112845.55134001499</v>
      </c>
      <c r="M111">
        <f>'[1]Sheet 1'!M111</f>
        <v>103783.545710855</v>
      </c>
      <c r="N111">
        <f t="shared" si="43"/>
        <v>-19606.293380993986</v>
      </c>
      <c r="O111">
        <v>12.69</v>
      </c>
      <c r="P111">
        <v>117.26333333333299</v>
      </c>
      <c r="R111">
        <f t="shared" si="77"/>
        <v>1.7012452228471826</v>
      </c>
      <c r="S111">
        <f t="shared" si="78"/>
        <v>1.577951467699841</v>
      </c>
      <c r="T111">
        <f t="shared" si="79"/>
        <v>-0.74203920874795282</v>
      </c>
      <c r="U111">
        <f t="shared" si="80"/>
        <v>-0.49078068615267012</v>
      </c>
      <c r="V111">
        <f t="shared" si="81"/>
        <v>6.6327654858441898</v>
      </c>
      <c r="W111">
        <f t="shared" si="82"/>
        <v>3.7027504675619709</v>
      </c>
      <c r="X111">
        <f t="shared" si="50"/>
        <v>-13.718064412794542</v>
      </c>
      <c r="Y111">
        <f t="shared" si="51"/>
        <v>2.9016877760546231</v>
      </c>
      <c r="Z111">
        <f t="shared" si="76"/>
        <v>8.5369616191530806</v>
      </c>
      <c r="AA111">
        <f t="shared" si="52"/>
        <v>1</v>
      </c>
      <c r="AB111">
        <f t="shared" si="53"/>
        <v>0.16650366279342732</v>
      </c>
      <c r="AC111">
        <f t="shared" si="54"/>
        <v>0.67672090991883715</v>
      </c>
      <c r="AD111">
        <f t="shared" si="55"/>
        <v>0.21073223687733708</v>
      </c>
      <c r="AE111">
        <f t="shared" si="56"/>
        <v>0.33637823155966451</v>
      </c>
      <c r="AF111">
        <f t="shared" si="57"/>
        <v>0.31810635239973761</v>
      </c>
      <c r="AG111">
        <f t="shared" si="58"/>
        <v>-7.2228688749528425E-2</v>
      </c>
      <c r="AJ111">
        <f t="shared" si="59"/>
        <v>1.5717652806207638</v>
      </c>
      <c r="AK111">
        <f t="shared" si="60"/>
        <v>0.16228643626145312</v>
      </c>
      <c r="AL111">
        <f t="shared" si="61"/>
        <v>0.27567738438158651</v>
      </c>
      <c r="AM111">
        <f t="shared" si="62"/>
        <v>0.50419312763776802</v>
      </c>
      <c r="AN111">
        <f t="shared" si="63"/>
        <v>0.81431895319413783</v>
      </c>
      <c r="AO111">
        <f t="shared" si="64"/>
        <v>-0.20364731435509004</v>
      </c>
      <c r="AP111">
        <f t="shared" si="65"/>
        <v>1.8936693500918061E-2</v>
      </c>
      <c r="AQ111">
        <f t="shared" si="66"/>
        <v>1.5717652806207734</v>
      </c>
      <c r="AS111">
        <f t="shared" si="67"/>
        <v>0.94215694828080765</v>
      </c>
      <c r="AT111">
        <f t="shared" si="68"/>
        <v>0.61067163883904785</v>
      </c>
      <c r="AV111">
        <f t="shared" si="69"/>
        <v>7.475852076067163</v>
      </c>
      <c r="AW111">
        <f t="shared" si="70"/>
        <v>5.9188480620286121</v>
      </c>
      <c r="AX111">
        <f t="shared" si="71"/>
        <v>-0.5065970384893328</v>
      </c>
      <c r="AY111">
        <f t="shared" si="72"/>
        <v>3.2068558905731894</v>
      </c>
      <c r="AZ111">
        <f t="shared" si="73"/>
        <v>18.782091866633415</v>
      </c>
      <c r="BA111">
        <f t="shared" si="74"/>
        <v>12.119442697328102</v>
      </c>
      <c r="BB111">
        <f t="shared" si="75"/>
        <v>-37.339505818594283</v>
      </c>
    </row>
    <row r="112" spans="1:54" x14ac:dyDescent="0.25">
      <c r="A112" s="1">
        <v>44743</v>
      </c>
      <c r="B112">
        <v>344745</v>
      </c>
      <c r="C112">
        <v>193718</v>
      </c>
      <c r="D112">
        <v>69508</v>
      </c>
      <c r="E112">
        <v>79082</v>
      </c>
      <c r="F112">
        <v>140737</v>
      </c>
      <c r="G112">
        <v>142235</v>
      </c>
      <c r="H112">
        <f>'[1]Sheet 1'!H112</f>
        <v>322567.583765071</v>
      </c>
      <c r="I112">
        <f>'[1]Sheet 1'!I112</f>
        <v>53486.228240815697</v>
      </c>
      <c r="J112">
        <f>'[1]Sheet 1'!J112</f>
        <v>213567.085114824</v>
      </c>
      <c r="K112">
        <f>'[1]Sheet 1'!K112</f>
        <v>66558.505835563701</v>
      </c>
      <c r="L112">
        <f>'[1]Sheet 1'!L112</f>
        <v>113071.944252118</v>
      </c>
      <c r="M112">
        <f>'[1]Sheet 1'!M112</f>
        <v>101996.225522497</v>
      </c>
      <c r="N112">
        <f t="shared" si="43"/>
        <v>-22119.954155753425</v>
      </c>
      <c r="O112">
        <v>12.73</v>
      </c>
      <c r="P112">
        <v>117.666666666667</v>
      </c>
      <c r="R112">
        <f t="shared" si="77"/>
        <v>0.81579137763383991</v>
      </c>
      <c r="S112">
        <f t="shared" si="78"/>
        <v>0.52008435331042402</v>
      </c>
      <c r="T112">
        <f t="shared" si="79"/>
        <v>1.0633031566813764</v>
      </c>
      <c r="U112">
        <f t="shared" si="80"/>
        <v>0.88889855671446616</v>
      </c>
      <c r="V112">
        <f t="shared" si="81"/>
        <v>0.20062192032795703</v>
      </c>
      <c r="W112">
        <f t="shared" si="82"/>
        <v>-1.7221614236784195</v>
      </c>
      <c r="X112">
        <f t="shared" si="50"/>
        <v>12.820683266915406</v>
      </c>
      <c r="Y112">
        <f t="shared" si="51"/>
        <v>0.34395520054635298</v>
      </c>
      <c r="Z112">
        <f t="shared" si="76"/>
        <v>6.5628207450344105</v>
      </c>
      <c r="AA112">
        <f t="shared" si="52"/>
        <v>1</v>
      </c>
      <c r="AB112">
        <f t="shared" si="53"/>
        <v>0.16630180821645921</v>
      </c>
      <c r="AC112">
        <f t="shared" si="54"/>
        <v>0.6604632755101667</v>
      </c>
      <c r="AD112">
        <f t="shared" si="55"/>
        <v>0.20619020278439715</v>
      </c>
      <c r="AE112">
        <f t="shared" si="56"/>
        <v>0.35268930092103473</v>
      </c>
      <c r="AF112">
        <f t="shared" si="57"/>
        <v>0.32436676279402582</v>
      </c>
      <c r="AG112">
        <f t="shared" si="58"/>
        <v>-6.1277824638032032E-2</v>
      </c>
      <c r="AJ112">
        <f t="shared" si="59"/>
        <v>1.7012452228471826</v>
      </c>
      <c r="AK112">
        <f t="shared" si="60"/>
        <v>0.26273469908228803</v>
      </c>
      <c r="AL112">
        <f t="shared" si="61"/>
        <v>-0.50215344853936861</v>
      </c>
      <c r="AM112">
        <f t="shared" si="62"/>
        <v>-0.1034233118091465</v>
      </c>
      <c r="AN112">
        <f t="shared" si="63"/>
        <v>2.2311179244782475</v>
      </c>
      <c r="AO112">
        <f t="shared" si="64"/>
        <v>-1.1778684450825616</v>
      </c>
      <c r="AP112">
        <f t="shared" si="65"/>
        <v>0.99083780471771932</v>
      </c>
      <c r="AQ112">
        <f t="shared" si="66"/>
        <v>1.7012452228471782</v>
      </c>
      <c r="AS112">
        <f t="shared" si="67"/>
        <v>-0.34284206126622707</v>
      </c>
      <c r="AT112">
        <f t="shared" si="68"/>
        <v>1.0532494793956859</v>
      </c>
      <c r="AV112">
        <f t="shared" si="69"/>
        <v>6.2580847349973876</v>
      </c>
      <c r="AW112">
        <f t="shared" si="70"/>
        <v>4.7666218412368266</v>
      </c>
      <c r="AX112">
        <f t="shared" si="71"/>
        <v>0.24599513198689671</v>
      </c>
      <c r="AY112">
        <f t="shared" si="72"/>
        <v>4.1021417144147909</v>
      </c>
      <c r="AZ112">
        <f t="shared" si="73"/>
        <v>13.739507217926223</v>
      </c>
      <c r="BA112">
        <f t="shared" si="74"/>
        <v>7.4310061055175636</v>
      </c>
      <c r="BB112">
        <f t="shared" si="75"/>
        <v>-23.549065229675499</v>
      </c>
    </row>
    <row r="113" spans="1:54" x14ac:dyDescent="0.25">
      <c r="A113" s="1">
        <v>44835</v>
      </c>
      <c r="B113">
        <v>358462</v>
      </c>
      <c r="C113">
        <v>193932</v>
      </c>
      <c r="D113">
        <v>71196</v>
      </c>
      <c r="E113">
        <v>79279</v>
      </c>
      <c r="F113">
        <v>143287</v>
      </c>
      <c r="G113">
        <v>133231</v>
      </c>
      <c r="H113">
        <f>'[1]Sheet 1'!H113</f>
        <v>324296.41484421602</v>
      </c>
      <c r="I113">
        <f>'[1]Sheet 1'!I113</f>
        <v>52754.768332433297</v>
      </c>
      <c r="J113">
        <f>'[1]Sheet 1'!J113</f>
        <v>217263.04521825601</v>
      </c>
      <c r="K113">
        <f>'[1]Sheet 1'!K113</f>
        <v>65435.269144481201</v>
      </c>
      <c r="L113">
        <f>'[1]Sheet 1'!L113</f>
        <v>114038.610148949</v>
      </c>
      <c r="M113">
        <f>'[1]Sheet 1'!M113</f>
        <v>99297.583003675696</v>
      </c>
      <c r="N113">
        <f t="shared" si="43"/>
        <v>-25897.694996227801</v>
      </c>
      <c r="O113">
        <v>12.99</v>
      </c>
      <c r="P113">
        <v>117.053333333333</v>
      </c>
      <c r="R113">
        <f t="shared" si="77"/>
        <v>0.53595933570440368</v>
      </c>
      <c r="S113">
        <f t="shared" si="78"/>
        <v>-1.3675668156840002</v>
      </c>
      <c r="T113">
        <f t="shared" si="79"/>
        <v>1.7305850765556314</v>
      </c>
      <c r="U113">
        <f t="shared" si="80"/>
        <v>-1.6875930085592905</v>
      </c>
      <c r="V113">
        <f t="shared" si="81"/>
        <v>0.85491224478780103</v>
      </c>
      <c r="W113">
        <f t="shared" si="82"/>
        <v>-2.6458258675720034</v>
      </c>
      <c r="X113">
        <f t="shared" si="50"/>
        <v>17.078429791825684</v>
      </c>
      <c r="Y113">
        <f t="shared" si="51"/>
        <v>-0.52124645892407584</v>
      </c>
      <c r="Z113">
        <f t="shared" si="76"/>
        <v>2.717407201567251</v>
      </c>
      <c r="AA113">
        <f t="shared" si="52"/>
        <v>1</v>
      </c>
      <c r="AB113">
        <f t="shared" si="53"/>
        <v>0.16581402141068899</v>
      </c>
      <c r="AC113">
        <f t="shared" si="54"/>
        <v>0.66208477188571713</v>
      </c>
      <c r="AD113">
        <f t="shared" si="55"/>
        <v>0.20633972285336299</v>
      </c>
      <c r="AE113">
        <f t="shared" si="56"/>
        <v>0.35053722054870012</v>
      </c>
      <c r="AF113">
        <f t="shared" si="57"/>
        <v>0.31620110220617148</v>
      </c>
      <c r="AG113">
        <f t="shared" si="58"/>
        <v>-6.8574634492297878E-2</v>
      </c>
      <c r="AJ113">
        <f t="shared" si="59"/>
        <v>0.81579137763383991</v>
      </c>
      <c r="AK113">
        <f t="shared" si="60"/>
        <v>8.6490968380611349E-2</v>
      </c>
      <c r="AL113">
        <f t="shared" si="61"/>
        <v>0.7022726857220819</v>
      </c>
      <c r="AM113">
        <f t="shared" si="62"/>
        <v>0.18328217366371372</v>
      </c>
      <c r="AN113">
        <f t="shared" si="63"/>
        <v>7.0757204829902692E-2</v>
      </c>
      <c r="AO113">
        <f t="shared" si="64"/>
        <v>0.55861192600731968</v>
      </c>
      <c r="AP113">
        <f t="shared" si="65"/>
        <v>-0.7856235809697939</v>
      </c>
      <c r="AQ113">
        <f t="shared" si="66"/>
        <v>0.81579137763383536</v>
      </c>
      <c r="AS113">
        <f t="shared" si="67"/>
        <v>0.97204582776640691</v>
      </c>
      <c r="AT113">
        <f t="shared" si="68"/>
        <v>0.62936913083722235</v>
      </c>
      <c r="AV113">
        <f t="shared" si="69"/>
        <v>4.7006217792252922</v>
      </c>
      <c r="AW113">
        <f t="shared" si="70"/>
        <v>1.6856359708835245</v>
      </c>
      <c r="AX113">
        <f t="shared" si="71"/>
        <v>2.4603181499148259</v>
      </c>
      <c r="AY113">
        <f t="shared" si="72"/>
        <v>1.0805229739706226</v>
      </c>
      <c r="AZ113">
        <f t="shared" si="73"/>
        <v>10.39118327881609</v>
      </c>
      <c r="BA113">
        <f t="shared" si="74"/>
        <v>-0.15038805709984529</v>
      </c>
      <c r="BB113">
        <f t="shared" si="75"/>
        <v>13.675255226243104</v>
      </c>
    </row>
    <row r="114" spans="1:54" x14ac:dyDescent="0.25">
      <c r="A114" s="1">
        <v>44927</v>
      </c>
      <c r="B114">
        <v>369227</v>
      </c>
      <c r="C114">
        <v>198283</v>
      </c>
      <c r="D114">
        <v>71849</v>
      </c>
      <c r="E114">
        <v>78136</v>
      </c>
      <c r="F114">
        <v>146598</v>
      </c>
      <c r="G114">
        <v>129527</v>
      </c>
      <c r="H114">
        <f>'[1]Sheet 1'!H114</f>
        <v>325950.71760773601</v>
      </c>
      <c r="I114">
        <f>'[1]Sheet 1'!I114</f>
        <v>53344.494345860701</v>
      </c>
      <c r="J114">
        <f>'[1]Sheet 1'!J114</f>
        <v>219600.91296951199</v>
      </c>
      <c r="K114">
        <f>'[1]Sheet 1'!K114</f>
        <v>68358.134483903894</v>
      </c>
      <c r="L114">
        <f>'[1]Sheet 1'!L114</f>
        <v>114819.411853403</v>
      </c>
      <c r="M114">
        <f>'[1]Sheet 1'!M114</f>
        <v>101451.067516468</v>
      </c>
      <c r="N114">
        <f t="shared" si="43"/>
        <v>-28721.168528475551</v>
      </c>
      <c r="O114">
        <v>13.38</v>
      </c>
      <c r="P114">
        <v>118.83</v>
      </c>
      <c r="R114">
        <f t="shared" si="77"/>
        <v>0.51012058345284805</v>
      </c>
      <c r="S114">
        <f t="shared" si="78"/>
        <v>1.1178629573563001</v>
      </c>
      <c r="T114">
        <f t="shared" si="79"/>
        <v>1.0760540288420555</v>
      </c>
      <c r="U114">
        <f t="shared" si="80"/>
        <v>4.4668041831829264</v>
      </c>
      <c r="V114">
        <f t="shared" si="81"/>
        <v>0.68468188399891594</v>
      </c>
      <c r="W114">
        <f t="shared" si="82"/>
        <v>2.1687179563198313</v>
      </c>
      <c r="X114">
        <f t="shared" si="50"/>
        <v>10.902412483655439</v>
      </c>
      <c r="Y114">
        <f t="shared" si="51"/>
        <v>1.517826631735109</v>
      </c>
      <c r="Z114">
        <f t="shared" si="76"/>
        <v>1.3360243326987764</v>
      </c>
      <c r="AA114">
        <f t="shared" si="52"/>
        <v>1</v>
      </c>
      <c r="AB114">
        <f t="shared" si="53"/>
        <v>0.1626745345235327</v>
      </c>
      <c r="AC114">
        <f t="shared" si="54"/>
        <v>0.66995204163025912</v>
      </c>
      <c r="AD114">
        <f t="shared" si="55"/>
        <v>0.20177611021668151</v>
      </c>
      <c r="AE114">
        <f t="shared" si="56"/>
        <v>0.35164930886988166</v>
      </c>
      <c r="AF114">
        <f t="shared" si="57"/>
        <v>0.30619389687479526</v>
      </c>
      <c r="AG114">
        <f t="shared" si="58"/>
        <v>-7.9858098365559835E-2</v>
      </c>
      <c r="AJ114">
        <f t="shared" si="59"/>
        <v>0.53595933570440368</v>
      </c>
      <c r="AK114">
        <f t="shared" si="60"/>
        <v>-0.22676175325637457</v>
      </c>
      <c r="AL114">
        <f t="shared" si="61"/>
        <v>1.1457940256401615</v>
      </c>
      <c r="AM114">
        <f t="shared" si="62"/>
        <v>-0.34821747367539707</v>
      </c>
      <c r="AN114">
        <f t="shared" si="63"/>
        <v>0.29967856210096572</v>
      </c>
      <c r="AO114">
        <f t="shared" si="64"/>
        <v>0.83661305557186738</v>
      </c>
      <c r="AP114">
        <f t="shared" si="65"/>
        <v>-1.1711470806768172</v>
      </c>
      <c r="AQ114">
        <f t="shared" si="66"/>
        <v>0.53595933570440568</v>
      </c>
      <c r="AS114">
        <f t="shared" si="67"/>
        <v>0.5708147987083898</v>
      </c>
      <c r="AT114">
        <f t="shared" si="68"/>
        <v>1.136291617672833</v>
      </c>
      <c r="AV114">
        <f t="shared" si="69"/>
        <v>3.6062737623822114</v>
      </c>
      <c r="AW114">
        <f t="shared" si="70"/>
        <v>1.8356697574283858</v>
      </c>
      <c r="AX114">
        <f t="shared" si="71"/>
        <v>3.1474885862311313</v>
      </c>
      <c r="AY114">
        <f t="shared" si="72"/>
        <v>3.1082315011534791</v>
      </c>
      <c r="AZ114">
        <f t="shared" si="73"/>
        <v>8.4979538138419777</v>
      </c>
      <c r="BA114">
        <f t="shared" si="74"/>
        <v>1.3720881018971447</v>
      </c>
      <c r="BB114">
        <f t="shared" si="75"/>
        <v>26.394008536332848</v>
      </c>
    </row>
    <row r="115" spans="1:54" x14ac:dyDescent="0.25">
      <c r="A115" s="1">
        <v>45017</v>
      </c>
      <c r="B115">
        <v>370217</v>
      </c>
      <c r="C115">
        <v>201584</v>
      </c>
      <c r="D115">
        <v>73218</v>
      </c>
      <c r="E115">
        <v>76412</v>
      </c>
      <c r="F115">
        <v>141774</v>
      </c>
      <c r="G115">
        <v>126869</v>
      </c>
      <c r="H115">
        <f>'[1]Sheet 1'!H115</f>
        <v>326420.189535335</v>
      </c>
      <c r="I115">
        <f>'[1]Sheet 1'!I115</f>
        <v>53634.130620900003</v>
      </c>
      <c r="J115">
        <f>'[1]Sheet 1'!J115</f>
        <v>222837.488201331</v>
      </c>
      <c r="K115">
        <f>'[1]Sheet 1'!K115</f>
        <v>68828.187085500802</v>
      </c>
      <c r="L115">
        <f>'[1]Sheet 1'!L115</f>
        <v>114144.01923953299</v>
      </c>
      <c r="M115">
        <f>'[1]Sheet 1'!M115</f>
        <v>101778.963662287</v>
      </c>
      <c r="N115">
        <f t="shared" si="43"/>
        <v>-31244.671949642827</v>
      </c>
      <c r="O115">
        <v>11.67</v>
      </c>
      <c r="P115">
        <v>119.866666666667</v>
      </c>
      <c r="R115">
        <f t="shared" si="77"/>
        <v>0.14403156742362994</v>
      </c>
      <c r="S115">
        <f t="shared" si="78"/>
        <v>0.54295439218419794</v>
      </c>
      <c r="T115">
        <f t="shared" si="79"/>
        <v>1.473844160323847</v>
      </c>
      <c r="U115">
        <f t="shared" si="80"/>
        <v>0.68763228421277367</v>
      </c>
      <c r="V115">
        <f t="shared" si="81"/>
        <v>-0.58822162817931845</v>
      </c>
      <c r="W115">
        <f t="shared" si="82"/>
        <v>0.32320620555892798</v>
      </c>
      <c r="X115">
        <f t="shared" si="50"/>
        <v>8.7862143166819706</v>
      </c>
      <c r="Y115">
        <f t="shared" si="51"/>
        <v>0.87239473758057973</v>
      </c>
      <c r="Z115">
        <f t="shared" si="76"/>
        <v>1.8696883852691188</v>
      </c>
      <c r="AA115">
        <f t="shared" si="52"/>
        <v>1</v>
      </c>
      <c r="AB115">
        <f t="shared" si="53"/>
        <v>0.16365815893081698</v>
      </c>
      <c r="AC115">
        <f t="shared" si="54"/>
        <v>0.67372428133074325</v>
      </c>
      <c r="AD115">
        <f t="shared" si="55"/>
        <v>0.20971923297364603</v>
      </c>
      <c r="AE115">
        <f t="shared" si="56"/>
        <v>0.35226003702676895</v>
      </c>
      <c r="AF115">
        <f t="shared" si="57"/>
        <v>0.31124664569249039</v>
      </c>
      <c r="AG115">
        <f t="shared" si="58"/>
        <v>-8.8115064569484758E-2</v>
      </c>
      <c r="AJ115">
        <f t="shared" si="59"/>
        <v>0.51012058345284805</v>
      </c>
      <c r="AK115">
        <f t="shared" si="60"/>
        <v>0.1818478362490358</v>
      </c>
      <c r="AL115">
        <f t="shared" si="61"/>
        <v>0.72090459352720082</v>
      </c>
      <c r="AM115">
        <f t="shared" si="62"/>
        <v>0.90129437318225225</v>
      </c>
      <c r="AN115">
        <f t="shared" si="63"/>
        <v>0.24076791130394729</v>
      </c>
      <c r="AO115">
        <f t="shared" si="64"/>
        <v>-0.66404820226791117</v>
      </c>
      <c r="AP115">
        <f t="shared" si="65"/>
        <v>-0.87064592854166356</v>
      </c>
      <c r="AQ115">
        <f t="shared" si="66"/>
        <v>0.51012058345286138</v>
      </c>
      <c r="AS115">
        <f t="shared" si="67"/>
        <v>1.8040468029584888</v>
      </c>
      <c r="AT115">
        <f t="shared" si="68"/>
        <v>-0.42328029096396391</v>
      </c>
      <c r="AV115">
        <f t="shared" si="69"/>
        <v>2.0198909807671828</v>
      </c>
      <c r="AW115">
        <f t="shared" si="70"/>
        <v>0.79804674122067476</v>
      </c>
      <c r="AX115">
        <f t="shared" si="71"/>
        <v>5.4502036802923515</v>
      </c>
      <c r="AY115">
        <f t="shared" si="72"/>
        <v>4.3292648706263526</v>
      </c>
      <c r="AZ115">
        <f t="shared" si="73"/>
        <v>1.1506593606030475</v>
      </c>
      <c r="BA115">
        <f t="shared" si="74"/>
        <v>-1.9315027587830202</v>
      </c>
      <c r="BB115">
        <f t="shared" si="75"/>
        <v>59.360422403608894</v>
      </c>
    </row>
    <row r="116" spans="1:54" x14ac:dyDescent="0.25">
      <c r="A116" s="1">
        <v>45108</v>
      </c>
      <c r="B116">
        <v>374050</v>
      </c>
      <c r="C116">
        <v>205036</v>
      </c>
      <c r="D116">
        <v>74332</v>
      </c>
      <c r="E116">
        <v>78424</v>
      </c>
      <c r="F116">
        <v>139060</v>
      </c>
      <c r="G116">
        <v>126966</v>
      </c>
      <c r="H116">
        <f>'[1]Sheet 1'!H116</f>
        <v>328998.19172585697</v>
      </c>
      <c r="I116">
        <f>'[1]Sheet 1'!I116</f>
        <v>54121.2055077486</v>
      </c>
      <c r="J116">
        <f>'[1]Sheet 1'!J116</f>
        <v>224635.51731335299</v>
      </c>
      <c r="K116">
        <f>'[1]Sheet 1'!K116</f>
        <v>69497.053563003603</v>
      </c>
      <c r="L116">
        <f>'[1]Sheet 1'!L116</f>
        <v>112274.535237882</v>
      </c>
      <c r="M116">
        <f>'[1]Sheet 1'!M116</f>
        <v>100316.268835251</v>
      </c>
      <c r="N116">
        <f t="shared" si="43"/>
        <v>-31213.851060879213</v>
      </c>
      <c r="O116">
        <v>11.89</v>
      </c>
      <c r="P116">
        <v>121.25</v>
      </c>
      <c r="R116">
        <f t="shared" si="77"/>
        <v>0.7897802504777075</v>
      </c>
      <c r="S116">
        <f t="shared" si="78"/>
        <v>0.90814352952109756</v>
      </c>
      <c r="T116">
        <f t="shared" si="79"/>
        <v>0.80687909675121361</v>
      </c>
      <c r="U116">
        <f t="shared" si="80"/>
        <v>0.97179150842940476</v>
      </c>
      <c r="V116">
        <f t="shared" si="81"/>
        <v>-1.6378291338487543</v>
      </c>
      <c r="W116">
        <f t="shared" si="82"/>
        <v>-1.4371288274160186</v>
      </c>
      <c r="X116">
        <f t="shared" si="50"/>
        <v>-9.8643662552411915E-2</v>
      </c>
      <c r="Y116">
        <f t="shared" si="51"/>
        <v>1.154060066740541</v>
      </c>
      <c r="Z116">
        <f t="shared" si="76"/>
        <v>3.5852602802144418</v>
      </c>
      <c r="AA116">
        <f t="shared" si="52"/>
        <v>1</v>
      </c>
      <c r="AB116">
        <f t="shared" si="53"/>
        <v>0.16431008969527636</v>
      </c>
      <c r="AC116">
        <f t="shared" si="54"/>
        <v>0.68267066604717119</v>
      </c>
      <c r="AD116">
        <f t="shared" si="55"/>
        <v>0.21085762857830259</v>
      </c>
      <c r="AE116">
        <f t="shared" si="56"/>
        <v>0.34968431150664747</v>
      </c>
      <c r="AF116">
        <f t="shared" si="57"/>
        <v>0.31180351867073902</v>
      </c>
      <c r="AG116">
        <f t="shared" si="58"/>
        <v>-9.5719177156658661E-2</v>
      </c>
      <c r="AJ116">
        <f t="shared" si="59"/>
        <v>0.14403156742362994</v>
      </c>
      <c r="AK116">
        <f t="shared" si="60"/>
        <v>8.8858916208266595E-2</v>
      </c>
      <c r="AL116">
        <f t="shared" si="61"/>
        <v>0.99296459770769652</v>
      </c>
      <c r="AM116">
        <f t="shared" si="62"/>
        <v>0.14420971521301906</v>
      </c>
      <c r="AN116">
        <f t="shared" si="63"/>
        <v>-0.20720697252239303</v>
      </c>
      <c r="AO116">
        <f t="shared" si="64"/>
        <v>-0.10059684734721387</v>
      </c>
      <c r="AP116">
        <f t="shared" si="65"/>
        <v>-0.77419784183576323</v>
      </c>
      <c r="AQ116">
        <f t="shared" si="66"/>
        <v>0.14403156742361201</v>
      </c>
      <c r="AS116">
        <f t="shared" si="67"/>
        <v>1.2260332291289822</v>
      </c>
      <c r="AT116">
        <f t="shared" si="68"/>
        <v>-0.30780381986960692</v>
      </c>
      <c r="AV116">
        <f t="shared" si="69"/>
        <v>1.9935691881145265</v>
      </c>
      <c r="AW116">
        <f t="shared" si="70"/>
        <v>1.1871789950751244</v>
      </c>
      <c r="AX116">
        <f t="shared" si="71"/>
        <v>5.1826489051803382</v>
      </c>
      <c r="AY116">
        <f t="shared" si="72"/>
        <v>4.4149845170799642</v>
      </c>
      <c r="AZ116">
        <f t="shared" si="73"/>
        <v>-0.70522269649667824</v>
      </c>
      <c r="BA116">
        <f t="shared" si="74"/>
        <v>-1.647077309616183</v>
      </c>
      <c r="BB116">
        <f t="shared" si="75"/>
        <v>41.111734866595349</v>
      </c>
    </row>
    <row r="117" spans="1:54" x14ac:dyDescent="0.25">
      <c r="A117" s="1">
        <v>45200</v>
      </c>
      <c r="B117">
        <v>384830</v>
      </c>
      <c r="C117">
        <v>209213</v>
      </c>
      <c r="D117">
        <v>74922</v>
      </c>
      <c r="E117">
        <v>81745</v>
      </c>
      <c r="F117">
        <v>142819</v>
      </c>
      <c r="G117">
        <v>128053</v>
      </c>
      <c r="H117">
        <f>'[1]Sheet 1'!H117</f>
        <v>331592.00295302598</v>
      </c>
      <c r="I117">
        <f>'[1]Sheet 1'!I117</f>
        <v>54271.462271470002</v>
      </c>
      <c r="J117">
        <f>'[1]Sheet 1'!J117</f>
        <v>226492.50491157101</v>
      </c>
      <c r="K117">
        <f>'[1]Sheet 1'!K117</f>
        <v>69875.124251867193</v>
      </c>
      <c r="L117">
        <f>'[1]Sheet 1'!L117</f>
        <v>114217.504434111</v>
      </c>
      <c r="M117">
        <f>'[1]Sheet 1'!M117</f>
        <v>101476.906713993</v>
      </c>
      <c r="N117">
        <f t="shared" si="43"/>
        <v>-31787.68620200023</v>
      </c>
      <c r="O117">
        <v>11.8</v>
      </c>
      <c r="P117">
        <v>120.976666666667</v>
      </c>
      <c r="R117">
        <f t="shared" si="77"/>
        <v>0.78839680350898078</v>
      </c>
      <c r="S117">
        <f t="shared" si="78"/>
        <v>0.27763011247022029</v>
      </c>
      <c r="T117">
        <f t="shared" si="79"/>
        <v>0.82666695829210213</v>
      </c>
      <c r="U117">
        <f t="shared" si="80"/>
        <v>0.54400966584985477</v>
      </c>
      <c r="V117">
        <f t="shared" si="81"/>
        <v>1.7305519832367486</v>
      </c>
      <c r="W117">
        <f t="shared" si="82"/>
        <v>1.1569787156339586</v>
      </c>
      <c r="X117">
        <f t="shared" si="50"/>
        <v>1.8383990491971467</v>
      </c>
      <c r="Y117">
        <f t="shared" si="51"/>
        <v>-0.22542955326432948</v>
      </c>
      <c r="Z117">
        <f t="shared" si="76"/>
        <v>1.8065022861794178</v>
      </c>
      <c r="AA117">
        <f t="shared" si="52"/>
        <v>1</v>
      </c>
      <c r="AB117">
        <f t="shared" si="53"/>
        <v>0.16450304855427889</v>
      </c>
      <c r="AC117">
        <f t="shared" si="54"/>
        <v>0.6827864801777821</v>
      </c>
      <c r="AD117">
        <f t="shared" si="55"/>
        <v>0.21123840589650761</v>
      </c>
      <c r="AE117">
        <f t="shared" si="56"/>
        <v>0.34126186119416896</v>
      </c>
      <c r="AF117">
        <f t="shared" si="57"/>
        <v>0.30491434712456156</v>
      </c>
      <c r="AG117">
        <f t="shared" si="58"/>
        <v>-9.487544869817599E-2</v>
      </c>
      <c r="AJ117">
        <f t="shared" si="59"/>
        <v>0.7897802504777075</v>
      </c>
      <c r="AK117">
        <f t="shared" si="60"/>
        <v>0.1492171447917964</v>
      </c>
      <c r="AL117">
        <f t="shared" si="61"/>
        <v>0.55083269039869087</v>
      </c>
      <c r="AM117">
        <f t="shared" si="62"/>
        <v>0.20490965293995583</v>
      </c>
      <c r="AN117">
        <f t="shared" si="63"/>
        <v>-0.57272315303543042</v>
      </c>
      <c r="AO117">
        <f t="shared" si="64"/>
        <v>0.44810182517146779</v>
      </c>
      <c r="AP117">
        <f t="shared" si="65"/>
        <v>9.4420902112359716E-3</v>
      </c>
      <c r="AQ117">
        <f t="shared" si="66"/>
        <v>0.78978025047771638</v>
      </c>
      <c r="AS117">
        <f t="shared" si="67"/>
        <v>0.90495948813044302</v>
      </c>
      <c r="AT117">
        <f t="shared" si="68"/>
        <v>-0.12462132786396263</v>
      </c>
      <c r="AV117">
        <f t="shared" si="69"/>
        <v>2.2496665935436186</v>
      </c>
      <c r="AW117">
        <f t="shared" si="70"/>
        <v>2.8749892890805295</v>
      </c>
      <c r="AX117">
        <f t="shared" si="71"/>
        <v>4.2480577790131591</v>
      </c>
      <c r="AY117">
        <f t="shared" si="72"/>
        <v>6.7851101790118484</v>
      </c>
      <c r="AZ117">
        <f t="shared" si="73"/>
        <v>0.15687168137909591</v>
      </c>
      <c r="BA117">
        <f t="shared" si="74"/>
        <v>2.1947399366575011</v>
      </c>
      <c r="BB117">
        <f t="shared" si="75"/>
        <v>22.743302856220797</v>
      </c>
    </row>
    <row r="118" spans="1:54" x14ac:dyDescent="0.25">
      <c r="A118" s="1">
        <v>45292</v>
      </c>
      <c r="B118">
        <v>391244</v>
      </c>
      <c r="C118">
        <v>213173</v>
      </c>
      <c r="D118">
        <v>75700</v>
      </c>
      <c r="E118">
        <v>81448</v>
      </c>
      <c r="F118">
        <v>146064</v>
      </c>
      <c r="G118">
        <v>129349</v>
      </c>
      <c r="H118">
        <f>'[1]Sheet 1'!H118</f>
        <v>335282.56609764899</v>
      </c>
      <c r="I118">
        <f>'[1]Sheet 1'!I118</f>
        <v>54535.577027882799</v>
      </c>
      <c r="J118">
        <f>'[1]Sheet 1'!J118</f>
        <v>227962.57744412599</v>
      </c>
      <c r="K118">
        <f>'[1]Sheet 1'!K118</f>
        <v>70873.791578981603</v>
      </c>
      <c r="L118">
        <f>'[1]Sheet 1'!L118</f>
        <v>116680.118934859</v>
      </c>
      <c r="M118">
        <f>'[1]Sheet 1'!M118</f>
        <v>102843.76755526901</v>
      </c>
      <c r="N118">
        <f t="shared" si="43"/>
        <v>-31925.731332931391</v>
      </c>
      <c r="O118">
        <v>12.29</v>
      </c>
      <c r="P118">
        <v>122.63</v>
      </c>
      <c r="R118">
        <f t="shared" si="77"/>
        <v>1.1129831575418976</v>
      </c>
      <c r="S118">
        <f t="shared" si="78"/>
        <v>0.48665494784657665</v>
      </c>
      <c r="T118">
        <f t="shared" si="79"/>
        <v>0.64906012370207544</v>
      </c>
      <c r="U118">
        <f t="shared" si="80"/>
        <v>1.4292172469199205</v>
      </c>
      <c r="V118">
        <f t="shared" si="81"/>
        <v>2.1560745114761368</v>
      </c>
      <c r="W118">
        <f t="shared" si="82"/>
        <v>1.3469673894656926</v>
      </c>
      <c r="X118">
        <f t="shared" si="50"/>
        <v>0.43427234701491002</v>
      </c>
      <c r="Y118">
        <f t="shared" si="51"/>
        <v>1.3666547268065388</v>
      </c>
      <c r="Z118">
        <f t="shared" si="76"/>
        <v>2.3053392658506566</v>
      </c>
      <c r="AA118">
        <f t="shared" si="52"/>
        <v>1</v>
      </c>
      <c r="AB118">
        <f t="shared" si="53"/>
        <v>0.16366939428016969</v>
      </c>
      <c r="AC118">
        <f t="shared" si="54"/>
        <v>0.68304573962737103</v>
      </c>
      <c r="AD118">
        <f t="shared" si="55"/>
        <v>0.21072620458149544</v>
      </c>
      <c r="AE118">
        <f t="shared" si="56"/>
        <v>0.34445192711807138</v>
      </c>
      <c r="AF118">
        <f t="shared" si="57"/>
        <v>0.30602941509529841</v>
      </c>
      <c r="AG118">
        <f t="shared" si="58"/>
        <v>-9.5863850511809054E-2</v>
      </c>
      <c r="AJ118">
        <f t="shared" si="59"/>
        <v>0.78839680350898078</v>
      </c>
      <c r="AK118">
        <f t="shared" si="60"/>
        <v>4.5670999871818559E-2</v>
      </c>
      <c r="AL118">
        <f t="shared" si="61"/>
        <v>0.56443702273153784</v>
      </c>
      <c r="AM118">
        <f t="shared" si="62"/>
        <v>0.11491573460641509</v>
      </c>
      <c r="AN118">
        <f t="shared" si="63"/>
        <v>0.59057139069263309</v>
      </c>
      <c r="AO118">
        <f t="shared" si="64"/>
        <v>-0.35277940971454225</v>
      </c>
      <c r="AP118">
        <f t="shared" si="65"/>
        <v>-0.17441893467887942</v>
      </c>
      <c r="AQ118">
        <f t="shared" si="66"/>
        <v>0.788396803508983</v>
      </c>
      <c r="AS118">
        <f t="shared" si="67"/>
        <v>0.72502375720977152</v>
      </c>
      <c r="AT118">
        <f t="shared" si="68"/>
        <v>0.23779198097809084</v>
      </c>
      <c r="AV118">
        <f t="shared" si="69"/>
        <v>2.8629630142871343</v>
      </c>
      <c r="AW118">
        <f t="shared" si="70"/>
        <v>2.2328127703295406</v>
      </c>
      <c r="AX118">
        <f t="shared" si="71"/>
        <v>3.8076638031895955</v>
      </c>
      <c r="AY118">
        <f t="shared" si="72"/>
        <v>3.6801137334578149</v>
      </c>
      <c r="AZ118">
        <f t="shared" si="73"/>
        <v>1.6205509603477837</v>
      </c>
      <c r="BA118">
        <f t="shared" si="74"/>
        <v>1.3727800730878816</v>
      </c>
      <c r="BB118">
        <f t="shared" si="75"/>
        <v>11.157494519342698</v>
      </c>
    </row>
    <row r="119" spans="1:54" x14ac:dyDescent="0.25">
      <c r="A119" s="1">
        <v>45383</v>
      </c>
      <c r="B119">
        <v>394455</v>
      </c>
      <c r="C119">
        <v>216279</v>
      </c>
      <c r="D119">
        <v>76273</v>
      </c>
      <c r="E119">
        <v>79674</v>
      </c>
      <c r="F119">
        <v>148600</v>
      </c>
      <c r="G119">
        <v>130653</v>
      </c>
      <c r="H119">
        <f>'[1]Sheet 1'!H119</f>
        <v>338363.916722872</v>
      </c>
      <c r="I119">
        <f>'[1]Sheet 1'!I119</f>
        <v>55183.315054129002</v>
      </c>
      <c r="J119">
        <f>'[1]Sheet 1'!J119</f>
        <v>228062.88875744599</v>
      </c>
      <c r="K119">
        <f>'[1]Sheet 1'!K119</f>
        <v>71232.724243815494</v>
      </c>
      <c r="L119">
        <f>'[1]Sheet 1'!L119</f>
        <v>117408.689359326</v>
      </c>
      <c r="M119">
        <f>'[1]Sheet 1'!M119</f>
        <v>103474.047727831</v>
      </c>
      <c r="N119">
        <f t="shared" si="43"/>
        <v>-30049.652964013483</v>
      </c>
      <c r="O119">
        <v>11.27</v>
      </c>
      <c r="P119">
        <v>123.966666666667</v>
      </c>
      <c r="R119">
        <f t="shared" si="77"/>
        <v>0.91903097172239789</v>
      </c>
      <c r="S119">
        <f t="shared" si="78"/>
        <v>1.1877347990927634</v>
      </c>
      <c r="T119">
        <f t="shared" si="79"/>
        <v>4.4003412509492253E-2</v>
      </c>
      <c r="U119">
        <f t="shared" si="80"/>
        <v>0.50643920247147545</v>
      </c>
      <c r="V119">
        <f t="shared" si="81"/>
        <v>0.62441693676517118</v>
      </c>
      <c r="W119">
        <f t="shared" si="82"/>
        <v>0.61285208383996292</v>
      </c>
      <c r="X119">
        <f t="shared" si="50"/>
        <v>-5.8763833766361779</v>
      </c>
      <c r="Y119">
        <f t="shared" si="51"/>
        <v>1.0899997281798908</v>
      </c>
      <c r="Z119">
        <f t="shared" si="76"/>
        <v>2.2405498281789655</v>
      </c>
      <c r="AA119">
        <f t="shared" si="52"/>
        <v>1</v>
      </c>
      <c r="AB119">
        <f t="shared" si="53"/>
        <v>0.16265557038238501</v>
      </c>
      <c r="AC119">
        <f t="shared" si="54"/>
        <v>0.67991181318307281</v>
      </c>
      <c r="AD119">
        <f t="shared" si="55"/>
        <v>0.21138525752734799</v>
      </c>
      <c r="AE119">
        <f t="shared" si="56"/>
        <v>0.3480053266499894</v>
      </c>
      <c r="AF119">
        <f t="shared" si="57"/>
        <v>0.30673759376238008</v>
      </c>
      <c r="AG119">
        <f t="shared" si="58"/>
        <v>-9.5220373980415121E-2</v>
      </c>
      <c r="AJ119">
        <f t="shared" si="59"/>
        <v>1.1129831575418976</v>
      </c>
      <c r="AK119">
        <f t="shared" si="60"/>
        <v>7.9650520537496772E-2</v>
      </c>
      <c r="AL119">
        <f t="shared" si="61"/>
        <v>0.44333775225671707</v>
      </c>
      <c r="AM119">
        <f t="shared" si="62"/>
        <v>0.30117352596584884</v>
      </c>
      <c r="AN119">
        <f t="shared" si="63"/>
        <v>0.74266402048810964</v>
      </c>
      <c r="AO119">
        <f t="shared" si="64"/>
        <v>-0.41221164235062691</v>
      </c>
      <c r="AP119">
        <f t="shared" si="65"/>
        <v>-4.16310193556498E-2</v>
      </c>
      <c r="AQ119">
        <f t="shared" si="66"/>
        <v>1.1129831575418958</v>
      </c>
      <c r="AS119">
        <f t="shared" si="67"/>
        <v>0.82416179876006268</v>
      </c>
      <c r="AT119">
        <f t="shared" si="68"/>
        <v>0.33045237813748274</v>
      </c>
      <c r="AV119">
        <f t="shared" si="69"/>
        <v>3.6590038148495401</v>
      </c>
      <c r="AW119">
        <f t="shared" si="70"/>
        <v>2.8884302128043005</v>
      </c>
      <c r="AX119">
        <f t="shared" si="71"/>
        <v>2.3449378281422337</v>
      </c>
      <c r="AY119">
        <f t="shared" si="72"/>
        <v>3.4935355123151663</v>
      </c>
      <c r="AZ119">
        <f t="shared" si="73"/>
        <v>2.860132437549836</v>
      </c>
      <c r="BA119">
        <f t="shared" si="74"/>
        <v>1.6654562048484391</v>
      </c>
      <c r="BB119">
        <f t="shared" si="75"/>
        <v>-3.8247128584206638</v>
      </c>
    </row>
    <row r="120" spans="1:54" x14ac:dyDescent="0.25">
      <c r="A120" s="1">
        <v>45474</v>
      </c>
      <c r="B120">
        <v>399212</v>
      </c>
      <c r="C120">
        <v>218888</v>
      </c>
      <c r="D120">
        <v>78043</v>
      </c>
      <c r="E120">
        <v>80230</v>
      </c>
      <c r="F120">
        <v>149556</v>
      </c>
      <c r="G120">
        <v>131879</v>
      </c>
      <c r="H120">
        <f>'[1]Sheet 1'!H120</f>
        <v>340952.64647397702</v>
      </c>
      <c r="I120">
        <f>'[1]Sheet 1'!I120</f>
        <v>55841.883245106001</v>
      </c>
      <c r="J120">
        <f>'[1]Sheet 1'!J120</f>
        <v>231805.31961214999</v>
      </c>
      <c r="K120">
        <f>'[1]Sheet 1'!K120</f>
        <v>70795.597768743697</v>
      </c>
      <c r="L120">
        <f>'[1]Sheet 1'!L120</f>
        <v>117816.299858996</v>
      </c>
      <c r="M120">
        <f>'[1]Sheet 1'!M120</f>
        <v>104669.355922241</v>
      </c>
      <c r="N120">
        <f t="shared" si="43"/>
        <v>-30637.098088777653</v>
      </c>
      <c r="O120">
        <v>11.21</v>
      </c>
      <c r="P120">
        <v>123.62333333333299</v>
      </c>
      <c r="R120">
        <f t="shared" si="77"/>
        <v>0.76507264018498855</v>
      </c>
      <c r="S120">
        <f t="shared" si="78"/>
        <v>1.193419044019036</v>
      </c>
      <c r="T120">
        <f t="shared" si="79"/>
        <v>1.6409644177945246</v>
      </c>
      <c r="U120">
        <f t="shared" si="80"/>
        <v>-0.61365963426528403</v>
      </c>
      <c r="V120">
        <f t="shared" si="81"/>
        <v>0.34717234464863239</v>
      </c>
      <c r="W120">
        <f t="shared" si="82"/>
        <v>1.1551768010023449</v>
      </c>
      <c r="X120">
        <f t="shared" si="50"/>
        <v>1.9549148386760931</v>
      </c>
      <c r="Y120">
        <f t="shared" si="51"/>
        <v>-0.27695617101425168</v>
      </c>
      <c r="Z120">
        <f t="shared" si="76"/>
        <v>2.1877497037990681</v>
      </c>
      <c r="AA120">
        <f t="shared" si="52"/>
        <v>1</v>
      </c>
      <c r="AB120">
        <f t="shared" si="53"/>
        <v>0.1630886519714968</v>
      </c>
      <c r="AC120">
        <f t="shared" si="54"/>
        <v>0.67401657649043845</v>
      </c>
      <c r="AD120">
        <f t="shared" si="55"/>
        <v>0.21052104176390879</v>
      </c>
      <c r="AE120">
        <f t="shared" si="56"/>
        <v>0.34698939087966191</v>
      </c>
      <c r="AF120">
        <f t="shared" si="57"/>
        <v>0.30580698063197642</v>
      </c>
      <c r="AG120">
        <f t="shared" si="58"/>
        <v>-8.8808680473529494E-2</v>
      </c>
      <c r="AJ120">
        <f t="shared" si="59"/>
        <v>0.91903097172239789</v>
      </c>
      <c r="AK120">
        <f t="shared" si="60"/>
        <v>0.19319168120944089</v>
      </c>
      <c r="AL120">
        <f t="shared" si="61"/>
        <v>2.9918439985571584E-2</v>
      </c>
      <c r="AM120">
        <f t="shared" si="62"/>
        <v>0.10705378123637757</v>
      </c>
      <c r="AN120">
        <f t="shared" si="63"/>
        <v>0.21730042004474917</v>
      </c>
      <c r="AO120">
        <f t="shared" si="64"/>
        <v>-0.18798477352933066</v>
      </c>
      <c r="AP120">
        <f t="shared" si="65"/>
        <v>0.55955142277559144</v>
      </c>
      <c r="AQ120">
        <f t="shared" si="66"/>
        <v>0.9190309717224</v>
      </c>
      <c r="AS120">
        <f t="shared" si="67"/>
        <v>0.33016390243139004</v>
      </c>
      <c r="AT120">
        <f t="shared" si="68"/>
        <v>2.9315646515418514E-2</v>
      </c>
      <c r="AV120">
        <f t="shared" si="69"/>
        <v>3.6335928429908466</v>
      </c>
      <c r="AW120">
        <f t="shared" si="70"/>
        <v>3.1793041585355097</v>
      </c>
      <c r="AX120">
        <f t="shared" si="71"/>
        <v>3.1917491875496973</v>
      </c>
      <c r="AY120">
        <f t="shared" si="72"/>
        <v>1.8684881432604612</v>
      </c>
      <c r="AZ120">
        <f t="shared" si="73"/>
        <v>4.9359051982467612</v>
      </c>
      <c r="BA120">
        <f t="shared" si="74"/>
        <v>4.3393630340648466</v>
      </c>
      <c r="BB120">
        <f t="shared" si="75"/>
        <v>-1.8477469216363789</v>
      </c>
    </row>
    <row r="121" spans="1:54" x14ac:dyDescent="0.25">
      <c r="A121" s="1">
        <v>45566</v>
      </c>
      <c r="B121">
        <v>406716</v>
      </c>
      <c r="C121">
        <v>223451</v>
      </c>
      <c r="D121">
        <v>78540</v>
      </c>
      <c r="E121">
        <v>84529</v>
      </c>
      <c r="F121">
        <v>149342</v>
      </c>
      <c r="G121">
        <v>133551</v>
      </c>
      <c r="H121">
        <f>'[1]Sheet 1'!H121</f>
        <v>343727.13240569399</v>
      </c>
      <c r="I121">
        <f>'[1]Sheet 1'!I121</f>
        <v>56331.547953955502</v>
      </c>
      <c r="J121">
        <f>'[1]Sheet 1'!J121</f>
        <v>231957.42431785801</v>
      </c>
      <c r="K121">
        <f>'[1]Sheet 1'!K121</f>
        <v>73825.076941491105</v>
      </c>
      <c r="L121">
        <f>'[1]Sheet 1'!L121</f>
        <v>117918.43911656601</v>
      </c>
      <c r="M121">
        <f>'[1]Sheet 1'!M121</f>
        <v>105974.48070613699</v>
      </c>
      <c r="N121">
        <f t="shared" si="43"/>
        <v>-30330.875218039582</v>
      </c>
      <c r="O121">
        <v>10.61</v>
      </c>
      <c r="P121">
        <v>124.25</v>
      </c>
      <c r="R121">
        <f t="shared" si="77"/>
        <v>0.8137452401117341</v>
      </c>
      <c r="S121">
        <f t="shared" si="78"/>
        <v>0.87687714022863894</v>
      </c>
      <c r="T121">
        <f t="shared" si="79"/>
        <v>6.5617435338632998E-2</v>
      </c>
      <c r="U121">
        <f t="shared" si="80"/>
        <v>4.2791914585470519</v>
      </c>
      <c r="V121">
        <f t="shared" si="81"/>
        <v>8.66936558797404E-2</v>
      </c>
      <c r="W121">
        <f t="shared" si="82"/>
        <v>1.2469024695877331</v>
      </c>
      <c r="X121">
        <f t="shared" si="50"/>
        <v>-0.99951656599696093</v>
      </c>
      <c r="Y121">
        <f t="shared" si="51"/>
        <v>0.50691617008682932</v>
      </c>
      <c r="Z121">
        <f t="shared" si="76"/>
        <v>1.3210470521079707</v>
      </c>
      <c r="AA121">
        <f t="shared" si="52"/>
        <v>1</v>
      </c>
      <c r="AB121">
        <f t="shared" si="53"/>
        <v>0.16378193224955095</v>
      </c>
      <c r="AC121">
        <f t="shared" si="54"/>
        <v>0.67987540794713375</v>
      </c>
      <c r="AD121">
        <f t="shared" si="55"/>
        <v>0.20764055800970921</v>
      </c>
      <c r="AE121">
        <f t="shared" si="56"/>
        <v>0.34555033104278382</v>
      </c>
      <c r="AF121">
        <f t="shared" si="57"/>
        <v>0.30699088863130386</v>
      </c>
      <c r="AG121">
        <f t="shared" si="58"/>
        <v>-8.9857340617873774E-2</v>
      </c>
      <c r="AJ121">
        <f t="shared" si="59"/>
        <v>0.76507264018498855</v>
      </c>
      <c r="AK121">
        <f t="shared" si="60"/>
        <v>0.19463310312617699</v>
      </c>
      <c r="AL121">
        <f t="shared" si="61"/>
        <v>1.1060372190244909</v>
      </c>
      <c r="AM121">
        <f t="shared" si="62"/>
        <v>-0.12918826549398685</v>
      </c>
      <c r="AN121">
        <f t="shared" si="63"/>
        <v>0.120465120399893</v>
      </c>
      <c r="AO121">
        <f t="shared" si="64"/>
        <v>-0.35326112961063255</v>
      </c>
      <c r="AP121">
        <f t="shared" si="65"/>
        <v>-0.1736134072609466</v>
      </c>
      <c r="AQ121">
        <f t="shared" si="66"/>
        <v>0.76507264018499499</v>
      </c>
      <c r="AS121">
        <f t="shared" si="67"/>
        <v>1.171482056656681</v>
      </c>
      <c r="AT121">
        <f t="shared" si="68"/>
        <v>-0.23279600921073956</v>
      </c>
      <c r="AV121">
        <f t="shared" si="69"/>
        <v>3.6596568507676293</v>
      </c>
      <c r="AW121">
        <f t="shared" si="70"/>
        <v>3.7958912405580558</v>
      </c>
      <c r="AX121">
        <f t="shared" si="71"/>
        <v>2.4128477930961338</v>
      </c>
      <c r="AY121">
        <f t="shared" si="72"/>
        <v>5.6528739403541906</v>
      </c>
      <c r="AZ121">
        <f t="shared" si="73"/>
        <v>3.2402517466926191</v>
      </c>
      <c r="BA121">
        <f t="shared" si="74"/>
        <v>4.4321157766664658</v>
      </c>
      <c r="BB121">
        <f t="shared" si="75"/>
        <v>-4.5829412518517261</v>
      </c>
    </row>
    <row r="122" spans="1:54" x14ac:dyDescent="0.25">
      <c r="A122" s="1">
        <v>45658</v>
      </c>
      <c r="B122">
        <v>411404</v>
      </c>
      <c r="C122">
        <v>228012</v>
      </c>
      <c r="D122">
        <v>78691</v>
      </c>
      <c r="E122">
        <v>85553</v>
      </c>
      <c r="F122">
        <v>153403</v>
      </c>
      <c r="G122">
        <v>138761</v>
      </c>
      <c r="H122">
        <f>'[1]Sheet 1'!H122</f>
        <v>345915.554764534</v>
      </c>
      <c r="I122">
        <f>'[1]Sheet 1'!I122</f>
        <v>56636.676073326998</v>
      </c>
      <c r="J122">
        <f>'[1]Sheet 1'!J122</f>
        <v>232463.075223778</v>
      </c>
      <c r="K122">
        <f>'[1]Sheet 1'!K122</f>
        <v>74799.549076258394</v>
      </c>
      <c r="L122">
        <f>'[1]Sheet 1'!L122</f>
        <v>120691.515657172</v>
      </c>
      <c r="M122">
        <f>'[1]Sheet 1'!M122</f>
        <v>108104.17026171301</v>
      </c>
      <c r="N122">
        <f t="shared" si="43"/>
        <v>-30571.091004288435</v>
      </c>
      <c r="O122">
        <v>11.36</v>
      </c>
      <c r="P122">
        <v>125.633333333333</v>
      </c>
      <c r="R122">
        <f t="shared" si="77"/>
        <v>0.63667431300042276</v>
      </c>
      <c r="S122">
        <f t="shared" si="78"/>
        <v>0.54166471622775836</v>
      </c>
      <c r="T122">
        <f t="shared" si="79"/>
        <v>0.21799298186165436</v>
      </c>
      <c r="U122">
        <f>((K122-K121)/K121)*100</f>
        <v>1.3199744248686551</v>
      </c>
      <c r="V122">
        <f>((L122-L121)/L121)*100</f>
        <v>2.3516903390017934</v>
      </c>
      <c r="W122">
        <f t="shared" si="82"/>
        <v>2.0096249034534619</v>
      </c>
      <c r="X122">
        <f t="shared" si="50"/>
        <v>0.7919843542990882</v>
      </c>
      <c r="Y122">
        <f t="shared" si="51"/>
        <v>1.1133467471492948</v>
      </c>
      <c r="Z122">
        <f t="shared" si="76"/>
        <v>1.3444474321048661</v>
      </c>
      <c r="AA122">
        <f t="shared" si="52"/>
        <v>1</v>
      </c>
      <c r="AB122">
        <f t="shared" si="53"/>
        <v>0.16388449628546795</v>
      </c>
      <c r="AC122">
        <f t="shared" si="54"/>
        <v>0.67483012671831644</v>
      </c>
      <c r="AD122">
        <f t="shared" si="55"/>
        <v>0.21477814807577336</v>
      </c>
      <c r="AE122">
        <f t="shared" si="56"/>
        <v>0.34305828082663348</v>
      </c>
      <c r="AF122">
        <f t="shared" si="57"/>
        <v>0.3083099083986699</v>
      </c>
      <c r="AG122">
        <f t="shared" si="58"/>
        <v>-8.82411435075212E-2</v>
      </c>
      <c r="AJ122">
        <f t="shared" si="59"/>
        <v>0.8137452401117341</v>
      </c>
      <c r="AK122">
        <f t="shared" si="60"/>
        <v>0.14361663237210692</v>
      </c>
      <c r="AL122">
        <f t="shared" si="61"/>
        <v>4.4611680619297781E-2</v>
      </c>
      <c r="AM122">
        <f t="shared" si="62"/>
        <v>0.88853370228309125</v>
      </c>
      <c r="AN122">
        <f t="shared" si="63"/>
        <v>2.9957021488553476E-2</v>
      </c>
      <c r="AO122">
        <f t="shared" si="64"/>
        <v>-0.38278769717530553</v>
      </c>
      <c r="AP122">
        <f t="shared" si="65"/>
        <v>8.9813900523996432E-2</v>
      </c>
      <c r="AQ122">
        <f t="shared" si="66"/>
        <v>0.81374524011174021</v>
      </c>
      <c r="AS122">
        <f t="shared" si="67"/>
        <v>1.0767620152744959</v>
      </c>
      <c r="AT122">
        <f t="shared" si="68"/>
        <v>-0.35283067568675208</v>
      </c>
      <c r="AV122">
        <f t="shared" si="69"/>
        <v>3.1713514933514966</v>
      </c>
      <c r="AW122">
        <f t="shared" si="70"/>
        <v>3.8527125959810706</v>
      </c>
      <c r="AX122">
        <f t="shared" si="71"/>
        <v>1.9742265726729162</v>
      </c>
      <c r="AY122">
        <f t="shared" si="72"/>
        <v>5.5390820920056667</v>
      </c>
      <c r="AZ122">
        <f t="shared" si="73"/>
        <v>3.437943635069924</v>
      </c>
      <c r="BA122">
        <f t="shared" si="74"/>
        <v>5.1149455445776253</v>
      </c>
      <c r="BB122">
        <f t="shared" si="75"/>
        <v>-4.243098817428324</v>
      </c>
    </row>
    <row r="123" spans="1:54" x14ac:dyDescent="0.25">
      <c r="A123" s="1">
        <v>45748</v>
      </c>
      <c r="B123">
        <v>416561</v>
      </c>
      <c r="C123">
        <v>231096</v>
      </c>
      <c r="D123">
        <v>79266</v>
      </c>
      <c r="E123">
        <v>85459</v>
      </c>
      <c r="F123">
        <v>154074</v>
      </c>
      <c r="G123">
        <v>137884</v>
      </c>
      <c r="H123">
        <f>'[1]Sheet 1'!H123</f>
        <v>348695.68678076903</v>
      </c>
      <c r="I123">
        <f>'[1]Sheet 1'!I123</f>
        <v>57071.436555758803</v>
      </c>
      <c r="J123">
        <f>'[1]Sheet 1'!J123</f>
        <v>232582.629931898</v>
      </c>
      <c r="K123">
        <f>'[1]Sheet 1'!K123</f>
        <v>75476.589682800797</v>
      </c>
      <c r="L123">
        <f>'[1]Sheet 1'!L123</f>
        <v>122307.50155199799</v>
      </c>
      <c r="M123">
        <f>'[1]Sheet 1'!M123</f>
        <v>109799.254327257</v>
      </c>
      <c r="N123">
        <f t="shared" si="43"/>
        <v>-28943.216614429592</v>
      </c>
      <c r="O123">
        <v>10.29</v>
      </c>
      <c r="P123">
        <v>126.836666666667</v>
      </c>
      <c r="R123">
        <f>((H123-H122)/H122)*100</f>
        <v>0.80370251581414931</v>
      </c>
      <c r="S123">
        <f t="shared" si="78"/>
        <v>0.76763064603036313</v>
      </c>
      <c r="T123">
        <f>((J123-J122)/J122)*100</f>
        <v>5.1429547684043009E-2</v>
      </c>
      <c r="U123">
        <f>((K123-K122)/K122)*100</f>
        <v>0.90513995726385721</v>
      </c>
      <c r="V123">
        <f>((L123-L122)/L122)*100</f>
        <v>1.338939101084994</v>
      </c>
      <c r="W123">
        <f t="shared" si="82"/>
        <v>1.5680098755120282</v>
      </c>
      <c r="X123">
        <f t="shared" si="50"/>
        <v>-5.3248815674602179</v>
      </c>
      <c r="Y123">
        <f t="shared" si="51"/>
        <v>0.95781374369912786</v>
      </c>
      <c r="Z123">
        <f t="shared" si="76"/>
        <v>2.5992935529975587</v>
      </c>
      <c r="AA123">
        <f t="shared" si="52"/>
        <v>1</v>
      </c>
      <c r="AB123">
        <f t="shared" si="53"/>
        <v>0.16372977535479663</v>
      </c>
      <c r="AC123">
        <f t="shared" si="54"/>
        <v>0.6720226136752262</v>
      </c>
      <c r="AD123">
        <f t="shared" si="55"/>
        <v>0.21623644281383855</v>
      </c>
      <c r="AE123">
        <f t="shared" si="56"/>
        <v>0.34890456354102711</v>
      </c>
      <c r="AF123">
        <f t="shared" si="57"/>
        <v>0.31251607154613187</v>
      </c>
      <c r="AG123">
        <f t="shared" si="58"/>
        <v>-8.8377323838756808E-2</v>
      </c>
      <c r="AJ123">
        <f t="shared" si="59"/>
        <v>0.63667431300042276</v>
      </c>
      <c r="AK123">
        <f t="shared" si="60"/>
        <v>8.8770449174597116E-2</v>
      </c>
      <c r="AL123">
        <f t="shared" si="61"/>
        <v>0.14710823157340386</v>
      </c>
      <c r="AM123">
        <f>AD122*U122</f>
        <v>0.28350166248067377</v>
      </c>
      <c r="AN123">
        <f>AE122*V122</f>
        <v>0.80676684473455806</v>
      </c>
      <c r="AO123">
        <f t="shared" si="64"/>
        <v>-0.6195872698994227</v>
      </c>
      <c r="AP123">
        <f t="shared" si="65"/>
        <v>-6.9885605063417358E-2</v>
      </c>
      <c r="AQ123">
        <f t="shared" si="66"/>
        <v>0.63667431300039268</v>
      </c>
      <c r="AS123">
        <f t="shared" si="67"/>
        <v>0.51938034322867477</v>
      </c>
      <c r="AT123">
        <f t="shared" si="68"/>
        <v>0.18717957483513536</v>
      </c>
      <c r="AV123">
        <f t="shared" si="69"/>
        <v>3.0534491260068335</v>
      </c>
      <c r="AW123">
        <f t="shared" si="70"/>
        <v>3.4215441746798891</v>
      </c>
      <c r="AX123">
        <f t="shared" si="71"/>
        <v>1.981795985781331</v>
      </c>
      <c r="AY123">
        <f t="shared" si="72"/>
        <v>5.9577469260608282</v>
      </c>
      <c r="AZ123">
        <f t="shared" si="73"/>
        <v>4.1724443219694862</v>
      </c>
      <c r="BA123">
        <f t="shared" si="74"/>
        <v>6.1128434987517544</v>
      </c>
      <c r="BB123">
        <f t="shared" si="75"/>
        <v>-3.6820270467313709</v>
      </c>
    </row>
    <row r="124" spans="1:54" s="9" customFormat="1" x14ac:dyDescent="0.25">
      <c r="A124" s="7">
        <v>45839</v>
      </c>
      <c r="H124" s="9">
        <f>H123*(1+(R124/100))</f>
        <v>351485.25227501517</v>
      </c>
      <c r="I124" s="9">
        <f t="shared" ref="I124:M124" si="83">I123*(1+(S124/100))</f>
        <v>57470.936611649107</v>
      </c>
      <c r="J124" s="9">
        <f t="shared" si="83"/>
        <v>233047.7951917618</v>
      </c>
      <c r="K124" s="9">
        <f t="shared" si="83"/>
        <v>76608.738528042799</v>
      </c>
      <c r="L124" s="9">
        <f t="shared" si="83"/>
        <v>123285.96156441398</v>
      </c>
      <c r="M124" s="9">
        <f t="shared" si="83"/>
        <v>110787.44761620231</v>
      </c>
      <c r="N124" s="9">
        <f>H124+M124-I124-J124-K124-L124</f>
        <v>-28140.732004650243</v>
      </c>
      <c r="R124" s="9">
        <v>0.8</v>
      </c>
      <c r="S124" s="9">
        <v>0.7</v>
      </c>
      <c r="T124" s="9">
        <v>0.2</v>
      </c>
      <c r="U124" s="9">
        <v>1.5</v>
      </c>
      <c r="V124" s="9">
        <v>0.8</v>
      </c>
      <c r="W124" s="9">
        <v>0.9</v>
      </c>
      <c r="X124" s="9">
        <f>((N124-N123)/N123)*100</f>
        <v>-2.7726172265845239</v>
      </c>
      <c r="Y124" s="9">
        <f t="shared" si="51"/>
        <v>-100</v>
      </c>
      <c r="AA124" s="9">
        <f t="shared" si="52"/>
        <v>1</v>
      </c>
      <c r="AB124" s="9">
        <f>I123/$H123</f>
        <v>0.1636711858487673</v>
      </c>
      <c r="AC124" s="9">
        <f t="shared" si="54"/>
        <v>0.66700747600048949</v>
      </c>
      <c r="AD124" s="9">
        <f t="shared" si="55"/>
        <v>0.21645403870525715</v>
      </c>
      <c r="AE124" s="9">
        <f t="shared" si="56"/>
        <v>0.35075713921547536</v>
      </c>
      <c r="AF124" s="9">
        <f t="shared" si="57"/>
        <v>0.31488561083432526</v>
      </c>
      <c r="AG124" s="9">
        <f t="shared" si="58"/>
        <v>-8.3004228935664143E-2</v>
      </c>
      <c r="AJ124" s="9">
        <f t="shared" si="59"/>
        <v>0.80370251581414931</v>
      </c>
      <c r="AK124" s="9">
        <f t="shared" si="60"/>
        <v>0.12568399323000876</v>
      </c>
      <c r="AL124" s="9">
        <f t="shared" si="61"/>
        <v>3.4561819054765262E-2</v>
      </c>
      <c r="AM124" s="9">
        <f t="shared" si="62"/>
        <v>0.19572424460740634</v>
      </c>
      <c r="AN124" s="9">
        <f t="shared" si="63"/>
        <v>0.46716196267207505</v>
      </c>
      <c r="AO124" s="9">
        <f t="shared" si="64"/>
        <v>-0.49002828644055835</v>
      </c>
      <c r="AP124" s="9">
        <f t="shared" si="65"/>
        <v>0.47059878269045863</v>
      </c>
      <c r="AQ124" s="9">
        <f t="shared" si="66"/>
        <v>0.80370251581415575</v>
      </c>
      <c r="AS124" s="9">
        <f t="shared" si="67"/>
        <v>0.35597005689218036</v>
      </c>
      <c r="AT124" s="9">
        <f t="shared" si="68"/>
        <v>-2.2866323768483299E-2</v>
      </c>
      <c r="AV124" s="9">
        <f>((H124-H120)/H120)*100</f>
        <v>3.0891696867477014</v>
      </c>
      <c r="AW124" s="9">
        <f t="shared" si="70"/>
        <v>2.9172607940042519</v>
      </c>
      <c r="AX124" s="9">
        <f t="shared" si="71"/>
        <v>0.53599959728736435</v>
      </c>
      <c r="AY124" s="9">
        <f t="shared" si="72"/>
        <v>8.2111613469073745</v>
      </c>
      <c r="AZ124" s="9">
        <f t="shared" si="73"/>
        <v>4.642533937973047</v>
      </c>
      <c r="BA124" s="9">
        <f t="shared" si="74"/>
        <v>5.8451603528605327</v>
      </c>
      <c r="BB124" s="9">
        <f t="shared" si="75"/>
        <v>-8.1481806040952272</v>
      </c>
    </row>
    <row r="125" spans="1:54" x14ac:dyDescent="0.25">
      <c r="A125" s="7">
        <v>45931</v>
      </c>
      <c r="H125" s="9">
        <f>H124*(1+(R125/100))</f>
        <v>352891.19328411523</v>
      </c>
      <c r="I125" s="9">
        <f t="shared" ref="I125:I129" si="84">I124*(1+(S125/100))</f>
        <v>57700.820358095705</v>
      </c>
      <c r="J125" s="9">
        <f t="shared" ref="J125:J129" si="85">J124*(1+(T125/100))</f>
        <v>233280.84298695353</v>
      </c>
      <c r="K125" s="9">
        <f t="shared" ref="K125:K129" si="86">K124*(1+(U125/100))</f>
        <v>77681.260867435398</v>
      </c>
      <c r="L125" s="9">
        <f t="shared" ref="L125:L129" si="87">L124*(1+(V125/100))</f>
        <v>124148.96329536487</v>
      </c>
      <c r="M125" s="9">
        <f t="shared" ref="M125:M129" si="88">M124*(1+(W125/100))</f>
        <v>111452.17230189953</v>
      </c>
      <c r="N125" s="9">
        <f t="shared" si="43"/>
        <v>-28468.521921834734</v>
      </c>
      <c r="O125" s="9"/>
      <c r="P125" s="9"/>
      <c r="Q125" s="9"/>
      <c r="R125" s="9">
        <v>0.4</v>
      </c>
      <c r="S125" s="9">
        <v>0.4</v>
      </c>
      <c r="T125" s="9">
        <v>0.1</v>
      </c>
      <c r="U125" s="9">
        <v>1.4</v>
      </c>
      <c r="V125" s="9">
        <v>0.7</v>
      </c>
      <c r="W125" s="9">
        <v>0.6</v>
      </c>
      <c r="X125" s="9">
        <f t="shared" ref="X125:X129" si="89">((N125-N124)/N124)*100</f>
        <v>1.1648237051201225</v>
      </c>
      <c r="AA125">
        <f t="shared" si="52"/>
        <v>1</v>
      </c>
      <c r="AB125" s="9">
        <f t="shared" ref="AB125:AB129" si="90">I124/$H124</f>
        <v>0.16350881364058401</v>
      </c>
      <c r="AC125" s="9">
        <f t="shared" si="54"/>
        <v>0.66303719340524858</v>
      </c>
      <c r="AD125" s="9">
        <f t="shared" si="55"/>
        <v>0.21795719175182141</v>
      </c>
      <c r="AE125" s="9">
        <f t="shared" si="56"/>
        <v>0.35075713921547541</v>
      </c>
      <c r="AF125" s="9">
        <f t="shared" si="57"/>
        <v>0.31519799735301007</v>
      </c>
      <c r="AG125" s="9">
        <f t="shared" si="58"/>
        <v>-8.0062340660119316E-2</v>
      </c>
      <c r="AJ125" s="9">
        <f t="shared" ref="AJ125:AJ129" si="91">AA124*R124</f>
        <v>0.8</v>
      </c>
      <c r="AK125" s="9">
        <f t="shared" ref="AK125:AK129" si="92">AB124*S124</f>
        <v>0.1145698300941371</v>
      </c>
      <c r="AL125" s="9">
        <f t="shared" ref="AL125:AL129" si="93">AC124*T124</f>
        <v>0.13340149520009789</v>
      </c>
      <c r="AM125" s="9">
        <f t="shared" ref="AM125:AM129" si="94">AD124*U124</f>
        <v>0.32468105805788572</v>
      </c>
      <c r="AN125" s="9">
        <f t="shared" ref="AN125:AN129" si="95">AE124*V124</f>
        <v>0.28060571137238027</v>
      </c>
      <c r="AO125" s="9">
        <f t="shared" si="64"/>
        <v>-0.28339704975089275</v>
      </c>
      <c r="AP125" s="9">
        <f t="shared" si="65"/>
        <v>0.23013895502638801</v>
      </c>
      <c r="AQ125" s="9">
        <f t="shared" si="66"/>
        <v>0.79999999999999627</v>
      </c>
      <c r="AS125" s="9">
        <f t="shared" si="67"/>
        <v>0.57265238335212065</v>
      </c>
      <c r="AT125" s="9">
        <f t="shared" si="68"/>
        <v>-2.7913383785124757E-3</v>
      </c>
      <c r="AV125" s="9">
        <f>((H125-H121)/H121)*100</f>
        <v>2.6660859776426049</v>
      </c>
      <c r="AW125" s="9">
        <f t="shared" si="70"/>
        <v>2.4307381101251195</v>
      </c>
      <c r="AX125" s="9">
        <f t="shared" si="71"/>
        <v>0.57054378534657535</v>
      </c>
      <c r="AY125" s="9">
        <f t="shared" si="72"/>
        <v>5.2234065790414963</v>
      </c>
      <c r="AZ125" s="9">
        <f t="shared" si="73"/>
        <v>5.2837573372556248</v>
      </c>
      <c r="BA125" s="9">
        <f t="shared" si="74"/>
        <v>5.1688779782294487</v>
      </c>
      <c r="BB125" s="9">
        <f t="shared" si="75"/>
        <v>-6.1401238270143805</v>
      </c>
    </row>
    <row r="126" spans="1:54" x14ac:dyDescent="0.25">
      <c r="A126" s="8">
        <v>46023</v>
      </c>
      <c r="H126" s="9">
        <f t="shared" ref="H125:H129" si="96">H125*(1+(R126/100))</f>
        <v>354655.64925053576</v>
      </c>
      <c r="I126" s="9">
        <f t="shared" si="84"/>
        <v>57931.623639528087</v>
      </c>
      <c r="J126" s="9">
        <f t="shared" si="85"/>
        <v>233514.12382994045</v>
      </c>
      <c r="K126" s="9">
        <f t="shared" si="86"/>
        <v>78458.073476109756</v>
      </c>
      <c r="L126" s="9">
        <f t="shared" si="87"/>
        <v>124769.70811184168</v>
      </c>
      <c r="M126" s="9">
        <f t="shared" si="88"/>
        <v>112120.88533571092</v>
      </c>
      <c r="N126" s="9">
        <f t="shared" si="43"/>
        <v>-27896.994471173239</v>
      </c>
      <c r="O126" s="9"/>
      <c r="P126" s="9"/>
      <c r="Q126" s="9"/>
      <c r="R126" s="9">
        <v>0.5</v>
      </c>
      <c r="S126" s="9">
        <v>0.4</v>
      </c>
      <c r="T126" s="9">
        <v>0.1</v>
      </c>
      <c r="U126" s="9">
        <v>1</v>
      </c>
      <c r="V126" s="9">
        <v>0.5</v>
      </c>
      <c r="W126" s="9">
        <v>0.6</v>
      </c>
      <c r="X126" s="9">
        <f t="shared" si="89"/>
        <v>-2.0075768325124952</v>
      </c>
      <c r="AA126">
        <f t="shared" si="52"/>
        <v>1</v>
      </c>
      <c r="AB126" s="9">
        <f t="shared" si="90"/>
        <v>0.16350881364058401</v>
      </c>
      <c r="AC126" s="9">
        <f t="shared" si="54"/>
        <v>0.66105600657236419</v>
      </c>
      <c r="AD126" s="9">
        <f t="shared" si="55"/>
        <v>0.22012808011588336</v>
      </c>
      <c r="AE126" s="9">
        <f t="shared" si="56"/>
        <v>0.35180521831671679</v>
      </c>
      <c r="AF126" s="9">
        <f t="shared" si="57"/>
        <v>0.31582588180988858</v>
      </c>
      <c r="AG126" s="9">
        <f t="shared" si="58"/>
        <v>-8.0672236835659772E-2</v>
      </c>
      <c r="AJ126" s="9">
        <f t="shared" si="91"/>
        <v>0.4</v>
      </c>
      <c r="AK126" s="9">
        <f t="shared" si="92"/>
        <v>6.540352545623361E-2</v>
      </c>
      <c r="AL126" s="9">
        <f t="shared" si="93"/>
        <v>6.6303719340524855E-2</v>
      </c>
      <c r="AM126" s="9">
        <f t="shared" si="94"/>
        <v>0.30514006845254993</v>
      </c>
      <c r="AN126" s="9">
        <f t="shared" si="95"/>
        <v>0.24552999745083276</v>
      </c>
      <c r="AO126" s="9">
        <f t="shared" si="64"/>
        <v>-0.18911879841180604</v>
      </c>
      <c r="AP126" s="9">
        <f t="shared" si="65"/>
        <v>-9.3258512288309614E-2</v>
      </c>
      <c r="AQ126" s="9">
        <f t="shared" si="66"/>
        <v>0.40000000000002556</v>
      </c>
      <c r="AS126" s="9">
        <f t="shared" si="67"/>
        <v>0.43684731324930837</v>
      </c>
      <c r="AT126" s="9">
        <f t="shared" si="68"/>
        <v>5.6411199039026722E-2</v>
      </c>
      <c r="AV126" s="9">
        <f t="shared" si="69"/>
        <v>2.5266555278068306</v>
      </c>
      <c r="AW126" s="9">
        <f t="shared" si="70"/>
        <v>2.2864116611019529</v>
      </c>
      <c r="AX126" s="9">
        <f t="shared" si="71"/>
        <v>0.45213572312534966</v>
      </c>
      <c r="AY126" s="9">
        <f t="shared" si="72"/>
        <v>4.8911048863696811</v>
      </c>
      <c r="AZ126" s="9">
        <f t="shared" si="73"/>
        <v>3.3790216590318702</v>
      </c>
      <c r="BA126" s="9">
        <f t="shared" si="74"/>
        <v>3.715596784355045</v>
      </c>
      <c r="BB126" s="9">
        <f t="shared" si="75"/>
        <v>-8.747141319686893</v>
      </c>
    </row>
    <row r="127" spans="1:54" x14ac:dyDescent="0.25">
      <c r="A127" s="8">
        <v>46113</v>
      </c>
      <c r="F127">
        <f>((K123-K121)/K121)*100</f>
        <v>2.2370619980776625</v>
      </c>
      <c r="H127" s="9">
        <f t="shared" si="96"/>
        <v>356074.27184753789</v>
      </c>
      <c r="I127" s="9">
        <f t="shared" si="84"/>
        <v>58105.418510446667</v>
      </c>
      <c r="J127" s="9">
        <f t="shared" si="85"/>
        <v>233981.15207760033</v>
      </c>
      <c r="K127" s="9">
        <f t="shared" si="86"/>
        <v>79164.196137394742</v>
      </c>
      <c r="L127" s="9">
        <f t="shared" si="87"/>
        <v>125393.55665240088</v>
      </c>
      <c r="M127" s="9">
        <f t="shared" si="88"/>
        <v>112793.61064772519</v>
      </c>
      <c r="N127" s="9">
        <f t="shared" si="43"/>
        <v>-27776.440882579554</v>
      </c>
      <c r="O127" s="9"/>
      <c r="P127" s="9"/>
      <c r="Q127" s="9"/>
      <c r="R127" s="9">
        <v>0.4</v>
      </c>
      <c r="S127" s="9">
        <v>0.3</v>
      </c>
      <c r="T127" s="9">
        <v>0.2</v>
      </c>
      <c r="U127" s="9">
        <v>0.9</v>
      </c>
      <c r="V127" s="9">
        <v>0.5</v>
      </c>
      <c r="W127" s="9">
        <v>0.6</v>
      </c>
      <c r="X127" s="9">
        <f t="shared" si="89"/>
        <v>-0.43213826750496626</v>
      </c>
      <c r="AA127">
        <f t="shared" si="52"/>
        <v>1</v>
      </c>
      <c r="AB127" s="9">
        <f t="shared" si="90"/>
        <v>0.16334611830362822</v>
      </c>
      <c r="AC127" s="9">
        <f t="shared" si="54"/>
        <v>0.65842493788948908</v>
      </c>
      <c r="AD127" s="9">
        <f t="shared" si="55"/>
        <v>0.22122324469357435</v>
      </c>
      <c r="AE127" s="9">
        <f t="shared" si="56"/>
        <v>0.35180521831671685</v>
      </c>
      <c r="AF127" s="9">
        <f t="shared" si="57"/>
        <v>0.31614013641865468</v>
      </c>
      <c r="AG127" s="9">
        <f t="shared" si="58"/>
        <v>-7.8659382784753692E-2</v>
      </c>
      <c r="AJ127" s="9">
        <f t="shared" si="91"/>
        <v>0.5</v>
      </c>
      <c r="AK127" s="9">
        <f t="shared" si="92"/>
        <v>6.540352545623361E-2</v>
      </c>
      <c r="AL127" s="9">
        <f t="shared" si="93"/>
        <v>6.6105600657236419E-2</v>
      </c>
      <c r="AM127" s="9">
        <f t="shared" si="94"/>
        <v>0.22012808011588336</v>
      </c>
      <c r="AN127" s="9">
        <f t="shared" si="95"/>
        <v>0.1759026091583584</v>
      </c>
      <c r="AO127" s="9">
        <f t="shared" si="64"/>
        <v>-0.18949552908593315</v>
      </c>
      <c r="AP127" s="9">
        <f t="shared" si="65"/>
        <v>0.1619557136982317</v>
      </c>
      <c r="AQ127" s="9">
        <f t="shared" si="66"/>
        <v>0.50000000000001033</v>
      </c>
      <c r="AS127" s="9">
        <f t="shared" si="67"/>
        <v>0.35163720622935341</v>
      </c>
      <c r="AT127" s="9">
        <f t="shared" si="68"/>
        <v>-1.3592919927574748E-2</v>
      </c>
      <c r="AV127" s="9">
        <f t="shared" si="69"/>
        <v>2.1160528639999803</v>
      </c>
      <c r="AW127" s="9">
        <f t="shared" si="70"/>
        <v>1.8117328335999809</v>
      </c>
      <c r="AX127" s="9">
        <f t="shared" si="71"/>
        <v>0.6013012003999727</v>
      </c>
      <c r="AY127" s="9">
        <f t="shared" si="72"/>
        <v>4.8857618899999888</v>
      </c>
      <c r="AZ127" s="9">
        <f t="shared" si="73"/>
        <v>2.5231936399999735</v>
      </c>
      <c r="BA127" s="9">
        <f t="shared" si="74"/>
        <v>2.7271189943999956</v>
      </c>
      <c r="BB127" s="9">
        <f t="shared" si="75"/>
        <v>-4.0312579883341062</v>
      </c>
    </row>
    <row r="128" spans="1:54" x14ac:dyDescent="0.25">
      <c r="A128" s="7">
        <v>46204</v>
      </c>
      <c r="H128" s="9">
        <f t="shared" si="96"/>
        <v>357854.64320677554</v>
      </c>
      <c r="I128" s="9">
        <f t="shared" si="84"/>
        <v>58337.84018448845</v>
      </c>
      <c r="J128" s="9">
        <f t="shared" si="85"/>
        <v>234683.09553383311</v>
      </c>
      <c r="K128" s="9">
        <f t="shared" si="86"/>
        <v>79797.509706493904</v>
      </c>
      <c r="L128" s="9">
        <f t="shared" si="87"/>
        <v>126020.52443566287</v>
      </c>
      <c r="M128" s="9">
        <f t="shared" si="88"/>
        <v>113470.37231161154</v>
      </c>
      <c r="N128" s="9">
        <f t="shared" si="43"/>
        <v>-27513.954342091252</v>
      </c>
      <c r="O128" s="9"/>
      <c r="P128" s="9"/>
      <c r="Q128" s="9"/>
      <c r="R128" s="9">
        <v>0.5</v>
      </c>
      <c r="S128" s="9">
        <v>0.4</v>
      </c>
      <c r="T128" s="9">
        <v>0.3</v>
      </c>
      <c r="U128" s="9">
        <v>0.8</v>
      </c>
      <c r="V128" s="9">
        <v>0.5</v>
      </c>
      <c r="W128" s="9">
        <v>0.6</v>
      </c>
      <c r="X128" s="9">
        <f t="shared" si="89"/>
        <v>-0.94499702678943576</v>
      </c>
      <c r="AA128">
        <f t="shared" si="52"/>
        <v>1</v>
      </c>
      <c r="AB128" s="9">
        <f t="shared" si="90"/>
        <v>0.1631834229666724</v>
      </c>
      <c r="AC128" s="9">
        <f t="shared" si="54"/>
        <v>0.65711333442755793</v>
      </c>
      <c r="AD128" s="9">
        <f t="shared" si="55"/>
        <v>0.22232495407949854</v>
      </c>
      <c r="AE128" s="9">
        <f t="shared" si="56"/>
        <v>0.35215562192061789</v>
      </c>
      <c r="AF128" s="9">
        <f t="shared" si="57"/>
        <v>0.31676989764658031</v>
      </c>
      <c r="AG128" s="9">
        <f t="shared" si="58"/>
        <v>-7.8007435747766501E-2</v>
      </c>
      <c r="AJ128" s="9">
        <f t="shared" si="91"/>
        <v>0.4</v>
      </c>
      <c r="AK128" s="9">
        <f t="shared" si="92"/>
        <v>4.9003835491088464E-2</v>
      </c>
      <c r="AL128" s="9">
        <f t="shared" si="93"/>
        <v>0.13168498757789782</v>
      </c>
      <c r="AM128" s="9">
        <f t="shared" si="94"/>
        <v>0.19910092022421691</v>
      </c>
      <c r="AN128" s="9">
        <f t="shared" si="95"/>
        <v>0.17590260915835843</v>
      </c>
      <c r="AO128" s="9">
        <f t="shared" si="64"/>
        <v>-0.18968408185119282</v>
      </c>
      <c r="AP128" s="9">
        <f t="shared" si="65"/>
        <v>3.3991729399613431E-2</v>
      </c>
      <c r="AQ128" s="9">
        <f t="shared" si="66"/>
        <v>0.3999999999999822</v>
      </c>
      <c r="AS128" s="9">
        <f t="shared" si="67"/>
        <v>0.3797897432932032</v>
      </c>
      <c r="AT128" s="9">
        <f t="shared" si="68"/>
        <v>-1.378147269283439E-2</v>
      </c>
      <c r="AV128" s="9">
        <f t="shared" si="69"/>
        <v>1.8121360399999711</v>
      </c>
      <c r="AW128" s="9">
        <f t="shared" si="70"/>
        <v>1.5084208191999871</v>
      </c>
      <c r="AX128" s="9">
        <f t="shared" si="71"/>
        <v>0.70170170059996095</v>
      </c>
      <c r="AY128" s="9">
        <f t="shared" si="72"/>
        <v>4.1624118080000079</v>
      </c>
      <c r="AZ128" s="9">
        <f t="shared" si="73"/>
        <v>2.2180650874999577</v>
      </c>
      <c r="BA128" s="9">
        <f t="shared" si="74"/>
        <v>2.4216865296000094</v>
      </c>
      <c r="BB128" s="9">
        <f t="shared" si="75"/>
        <v>-2.2272969390256647</v>
      </c>
    </row>
    <row r="129" spans="1:54" x14ac:dyDescent="0.25">
      <c r="A129" s="7">
        <v>46296</v>
      </c>
      <c r="H129" s="9">
        <f t="shared" si="96"/>
        <v>359286.06177960266</v>
      </c>
      <c r="I129" s="9">
        <f t="shared" si="84"/>
        <v>58512.853705041911</v>
      </c>
      <c r="J129" s="9">
        <f t="shared" si="85"/>
        <v>235152.46172490079</v>
      </c>
      <c r="K129" s="9">
        <f t="shared" si="86"/>
        <v>80276.294764732869</v>
      </c>
      <c r="L129" s="9">
        <f t="shared" si="87"/>
        <v>126650.62705784116</v>
      </c>
      <c r="M129" s="9">
        <f t="shared" si="88"/>
        <v>114151.19454548121</v>
      </c>
      <c r="N129" s="9">
        <f t="shared" si="43"/>
        <v>-27154.980927432844</v>
      </c>
      <c r="O129" s="9"/>
      <c r="P129" s="9"/>
      <c r="Q129" s="9"/>
      <c r="R129" s="9">
        <v>0.4</v>
      </c>
      <c r="S129" s="9">
        <v>0.3</v>
      </c>
      <c r="T129" s="9">
        <v>0.2</v>
      </c>
      <c r="U129" s="9">
        <v>0.6</v>
      </c>
      <c r="V129" s="9">
        <v>0.5</v>
      </c>
      <c r="W129" s="9">
        <v>0.6</v>
      </c>
      <c r="X129" s="9">
        <f t="shared" si="89"/>
        <v>-1.3046958288698107</v>
      </c>
      <c r="AA129">
        <f t="shared" si="52"/>
        <v>1</v>
      </c>
      <c r="AB129" s="9">
        <f t="shared" si="90"/>
        <v>0.16302105140153145</v>
      </c>
      <c r="AC129" s="9">
        <f t="shared" si="54"/>
        <v>0.65580564619984139</v>
      </c>
      <c r="AD129" s="9">
        <f t="shared" si="55"/>
        <v>0.22298861065884037</v>
      </c>
      <c r="AE129" s="9">
        <f t="shared" si="56"/>
        <v>0.35215562192061794</v>
      </c>
      <c r="AF129" s="9">
        <f t="shared" si="57"/>
        <v>0.31708509157458692</v>
      </c>
      <c r="AG129" s="9">
        <f t="shared" si="58"/>
        <v>-7.688583860624422E-2</v>
      </c>
      <c r="AJ129" s="9">
        <f t="shared" si="91"/>
        <v>0.5</v>
      </c>
      <c r="AK129" s="9">
        <f t="shared" si="92"/>
        <v>6.527336918666897E-2</v>
      </c>
      <c r="AL129" s="9">
        <f t="shared" si="93"/>
        <v>0.19713400032826736</v>
      </c>
      <c r="AM129" s="9">
        <f t="shared" si="94"/>
        <v>0.17785996326359885</v>
      </c>
      <c r="AN129" s="9">
        <f t="shared" si="95"/>
        <v>0.17607781096030894</v>
      </c>
      <c r="AO129" s="9">
        <f t="shared" si="64"/>
        <v>-0.19006193858794818</v>
      </c>
      <c r="AP129" s="9">
        <f t="shared" si="65"/>
        <v>7.3716794849107287E-2</v>
      </c>
      <c r="AQ129" s="9">
        <f t="shared" si="66"/>
        <v>0.50000000000000322</v>
      </c>
      <c r="AS129" s="9">
        <f t="shared" si="67"/>
        <v>0.44026733277853514</v>
      </c>
      <c r="AT129" s="9">
        <f t="shared" si="68"/>
        <v>-1.3984127627639231E-2</v>
      </c>
      <c r="AV129" s="9">
        <f t="shared" si="69"/>
        <v>1.812136039999978</v>
      </c>
      <c r="AW129" s="9">
        <f t="shared" si="70"/>
        <v>1.4073168143999768</v>
      </c>
      <c r="AX129" s="9">
        <f t="shared" si="71"/>
        <v>0.80230280119997954</v>
      </c>
      <c r="AY129" s="9">
        <f t="shared" si="72"/>
        <v>3.3406176320000105</v>
      </c>
      <c r="AZ129" s="9">
        <f t="shared" si="73"/>
        <v>2.0150500624999546</v>
      </c>
      <c r="BA129" s="9">
        <f t="shared" si="74"/>
        <v>2.4216865296000001</v>
      </c>
      <c r="BB129" s="9">
        <f t="shared" si="75"/>
        <v>-4.6140119181756072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CF7C-1A74-44F3-AC28-163D581FF4BF}">
  <dimension ref="A1:I17"/>
  <sheetViews>
    <sheetView workbookViewId="0">
      <selection activeCell="J16" sqref="J16"/>
    </sheetView>
  </sheetViews>
  <sheetFormatPr baseColWidth="10" defaultRowHeight="15" x14ac:dyDescent="0.25"/>
  <sheetData>
    <row r="1" spans="1:9" x14ac:dyDescent="0.25">
      <c r="A1" s="2"/>
      <c r="B1" s="2" t="s">
        <v>22</v>
      </c>
      <c r="C1" s="2" t="s">
        <v>19</v>
      </c>
      <c r="D1" s="2" t="s">
        <v>20</v>
      </c>
      <c r="E1" s="2" t="s">
        <v>21</v>
      </c>
      <c r="F1" s="2" t="s">
        <v>23</v>
      </c>
      <c r="G1" s="2" t="s">
        <v>19</v>
      </c>
      <c r="H1" s="2" t="s">
        <v>20</v>
      </c>
      <c r="I1" s="2" t="s">
        <v>21</v>
      </c>
    </row>
    <row r="2" spans="1:9" x14ac:dyDescent="0.25">
      <c r="A2" s="4" t="s">
        <v>24</v>
      </c>
      <c r="B2" s="3">
        <v>0.6</v>
      </c>
      <c r="C2" s="3">
        <v>0.7</v>
      </c>
      <c r="D2" s="3">
        <v>0.8</v>
      </c>
      <c r="E2" s="3">
        <v>0.4</v>
      </c>
      <c r="F2" s="3">
        <v>0.5</v>
      </c>
      <c r="G2" s="3">
        <v>0.4</v>
      </c>
      <c r="H2" s="3">
        <v>0.5</v>
      </c>
      <c r="I2" s="3">
        <v>0.4</v>
      </c>
    </row>
    <row r="3" spans="1:9" ht="45" x14ac:dyDescent="0.25">
      <c r="A3" s="4" t="s">
        <v>25</v>
      </c>
      <c r="B3" s="3">
        <v>0.2</v>
      </c>
      <c r="C3" s="3">
        <v>0.4</v>
      </c>
      <c r="D3" s="3">
        <v>0.6</v>
      </c>
      <c r="E3" s="3">
        <v>0.3</v>
      </c>
      <c r="F3" s="3">
        <v>0.4</v>
      </c>
      <c r="G3" s="3">
        <v>0.3</v>
      </c>
      <c r="H3" s="3">
        <v>0.4</v>
      </c>
      <c r="I3" s="3">
        <v>0.3</v>
      </c>
    </row>
    <row r="4" spans="1:9" ht="30" x14ac:dyDescent="0.25">
      <c r="A4" s="4" t="s">
        <v>26</v>
      </c>
      <c r="B4" s="3">
        <v>0.3</v>
      </c>
      <c r="C4" s="3">
        <v>0.4</v>
      </c>
      <c r="D4" s="3">
        <v>0.2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 ht="30" x14ac:dyDescent="0.25">
      <c r="A5" s="4" t="s">
        <v>27</v>
      </c>
      <c r="B5" s="3">
        <v>0.1</v>
      </c>
      <c r="C5" s="3">
        <v>-0.1</v>
      </c>
      <c r="D5" s="3">
        <v>0</v>
      </c>
      <c r="E5" s="3">
        <v>0.1</v>
      </c>
      <c r="F5" s="3">
        <v>0.1</v>
      </c>
      <c r="G5" s="3">
        <v>0.1</v>
      </c>
      <c r="H5" s="3">
        <v>0.1</v>
      </c>
      <c r="I5" s="3">
        <v>0.1</v>
      </c>
    </row>
    <row r="8" spans="1:9" ht="30" x14ac:dyDescent="0.25">
      <c r="A8" s="2" t="s">
        <v>31</v>
      </c>
      <c r="B8" s="6" t="s">
        <v>22</v>
      </c>
      <c r="C8" s="6" t="s">
        <v>32</v>
      </c>
      <c r="D8" s="6" t="s">
        <v>33</v>
      </c>
      <c r="E8" s="6" t="s">
        <v>34</v>
      </c>
      <c r="F8" s="6" t="s">
        <v>23</v>
      </c>
      <c r="G8" s="6" t="s">
        <v>35</v>
      </c>
      <c r="H8" s="6" t="s">
        <v>36</v>
      </c>
      <c r="I8" s="6" t="s">
        <v>37</v>
      </c>
    </row>
    <row r="9" spans="1:9" x14ac:dyDescent="0.25">
      <c r="A9" s="4" t="s">
        <v>24</v>
      </c>
      <c r="B9" s="5">
        <v>0.6</v>
      </c>
      <c r="C9" s="5">
        <v>0.7</v>
      </c>
      <c r="D9" s="5">
        <v>0.8</v>
      </c>
      <c r="E9" s="5">
        <v>0.4</v>
      </c>
      <c r="F9" s="5">
        <v>0.5</v>
      </c>
      <c r="G9" s="5">
        <v>0.4</v>
      </c>
      <c r="H9" s="5">
        <v>0.5</v>
      </c>
      <c r="I9" s="5">
        <v>0.4</v>
      </c>
    </row>
    <row r="10" spans="1:9" x14ac:dyDescent="0.25">
      <c r="A10" s="4" t="s">
        <v>38</v>
      </c>
      <c r="B10" s="5">
        <v>0.3</v>
      </c>
      <c r="C10" s="5">
        <v>0.4</v>
      </c>
      <c r="D10" s="5">
        <v>0.5</v>
      </c>
      <c r="E10" s="5">
        <v>0.2</v>
      </c>
      <c r="F10" s="5">
        <v>0.3</v>
      </c>
      <c r="G10" s="5">
        <v>0.2</v>
      </c>
      <c r="H10" s="5">
        <v>0.3</v>
      </c>
      <c r="I10" s="5">
        <v>0.2</v>
      </c>
    </row>
    <row r="11" spans="1:9" ht="45" x14ac:dyDescent="0.25">
      <c r="A11" s="4" t="s">
        <v>39</v>
      </c>
      <c r="B11" s="5">
        <v>0.5</v>
      </c>
      <c r="C11" s="5">
        <v>0.8</v>
      </c>
      <c r="D11" s="5">
        <v>0.7</v>
      </c>
      <c r="E11" s="5">
        <v>0.4</v>
      </c>
      <c r="F11" s="5">
        <v>0.4</v>
      </c>
      <c r="G11" s="5">
        <v>0.3</v>
      </c>
      <c r="H11" s="5">
        <v>0.4</v>
      </c>
      <c r="I11" s="5">
        <v>0.3</v>
      </c>
    </row>
    <row r="12" spans="1:9" ht="60" x14ac:dyDescent="0.25">
      <c r="A12" s="4" t="s">
        <v>40</v>
      </c>
      <c r="B12" s="5">
        <v>-0.1</v>
      </c>
      <c r="C12" s="5">
        <v>-0.1</v>
      </c>
      <c r="D12" s="5">
        <v>0.2</v>
      </c>
      <c r="E12" s="5">
        <v>0.1</v>
      </c>
      <c r="F12" s="5">
        <v>0.1</v>
      </c>
      <c r="G12" s="5">
        <v>0.2</v>
      </c>
      <c r="H12" s="5">
        <v>0.3</v>
      </c>
      <c r="I12" s="5">
        <v>0.2</v>
      </c>
    </row>
    <row r="13" spans="1:9" x14ac:dyDescent="0.25">
      <c r="A13" s="4" t="s">
        <v>28</v>
      </c>
      <c r="B13" s="5">
        <v>1.9</v>
      </c>
      <c r="C13" s="5">
        <v>1.6</v>
      </c>
      <c r="D13" s="5">
        <v>0.8</v>
      </c>
      <c r="E13" s="5">
        <v>0.5</v>
      </c>
      <c r="F13" s="5">
        <v>0.6</v>
      </c>
      <c r="G13" s="5">
        <v>0.5</v>
      </c>
      <c r="H13" s="5">
        <v>0.6</v>
      </c>
      <c r="I13" s="5">
        <v>0.5</v>
      </c>
    </row>
    <row r="14" spans="1:9" ht="30" x14ac:dyDescent="0.25">
      <c r="A14" s="3" t="s">
        <v>41</v>
      </c>
      <c r="B14" s="5">
        <v>2</v>
      </c>
      <c r="C14" s="5">
        <v>1.8</v>
      </c>
      <c r="D14" s="5">
        <v>1</v>
      </c>
      <c r="E14" s="5">
        <v>0.6</v>
      </c>
      <c r="F14" s="5">
        <v>0.7</v>
      </c>
      <c r="G14" s="5">
        <v>0.6</v>
      </c>
      <c r="H14" s="5">
        <v>0.7</v>
      </c>
      <c r="I14" s="5">
        <v>0.6</v>
      </c>
    </row>
    <row r="15" spans="1:9" x14ac:dyDescent="0.25">
      <c r="A15" s="3" t="s">
        <v>42</v>
      </c>
      <c r="B15" s="5">
        <v>1.5</v>
      </c>
      <c r="C15" s="5">
        <v>1.3</v>
      </c>
      <c r="D15" s="5">
        <v>0.6</v>
      </c>
      <c r="E15" s="5">
        <v>0.4</v>
      </c>
      <c r="F15" s="5">
        <v>0.4</v>
      </c>
      <c r="G15" s="5">
        <v>0.3</v>
      </c>
      <c r="H15" s="5">
        <v>0.4</v>
      </c>
      <c r="I15" s="5">
        <v>0.3</v>
      </c>
    </row>
    <row r="16" spans="1:9" ht="30" x14ac:dyDescent="0.25">
      <c r="A16" s="4" t="s">
        <v>29</v>
      </c>
      <c r="B16" s="5">
        <v>1.7</v>
      </c>
      <c r="C16" s="5">
        <v>1.1000000000000001</v>
      </c>
      <c r="D16" s="5">
        <v>0.6</v>
      </c>
      <c r="E16" s="5">
        <v>0.4</v>
      </c>
      <c r="F16" s="5">
        <v>0.5</v>
      </c>
      <c r="G16" s="5">
        <v>0.4</v>
      </c>
      <c r="H16" s="5">
        <v>0.6</v>
      </c>
      <c r="I16" s="5">
        <v>0.5</v>
      </c>
    </row>
    <row r="17" spans="1:9" ht="30" x14ac:dyDescent="0.25">
      <c r="A17" s="4" t="s">
        <v>30</v>
      </c>
      <c r="B17" s="5">
        <v>1.5</v>
      </c>
      <c r="C17" s="5">
        <v>1.7</v>
      </c>
      <c r="D17" s="5">
        <v>0.9</v>
      </c>
      <c r="E17" s="5">
        <v>0.6</v>
      </c>
      <c r="F17" s="5">
        <v>0.6</v>
      </c>
      <c r="G17" s="5">
        <v>0.5</v>
      </c>
      <c r="H17" s="5">
        <v>0.6</v>
      </c>
      <c r="I17" s="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 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153003</dc:creator>
  <cp:lastModifiedBy>Ombeline JULLIEN DE POMMEROL</cp:lastModifiedBy>
  <dcterms:created xsi:type="dcterms:W3CDTF">2025-09-16T09:51:36Z</dcterms:created>
  <dcterms:modified xsi:type="dcterms:W3CDTF">2025-10-14T11:47:33Z</dcterms:modified>
</cp:coreProperties>
</file>