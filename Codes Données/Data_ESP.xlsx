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Espagne\"/>
    </mc:Choice>
  </mc:AlternateContent>
  <xr:revisionPtr revIDLastSave="0" documentId="13_ncr:1_{6ACCB42E-C350-4189-BEA1-C51F1FF6A94B}" xr6:coauthVersionLast="47" xr6:coauthVersionMax="47" xr10:uidLastSave="{00000000-0000-0000-0000-000000000000}"/>
  <bookViews>
    <workbookView xWindow="-120" yWindow="15240" windowWidth="20730" windowHeight="11160" activeTab="1" xr2:uid="{1637C0AF-BF6C-46DA-AEA8-CB4401C94B78}"/>
  </bookViews>
  <sheets>
    <sheet name="Metadonnees" sheetId="3" r:id="rId1"/>
    <sheet name="ESP_trim" sheetId="1" r:id="rId2"/>
    <sheet name="ESP_Ann" sheetId="2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D2" i="2"/>
  <c r="C2" i="2"/>
  <c r="B2" i="2"/>
  <c r="E60" i="1"/>
  <c r="B3" i="1"/>
  <c r="C3" i="1"/>
  <c r="D3" i="1"/>
  <c r="F3" i="1" s="1"/>
  <c r="E3" i="1"/>
  <c r="H3" i="1"/>
  <c r="I3" i="1"/>
  <c r="J3" i="1"/>
  <c r="K3" i="1"/>
  <c r="N3" i="1"/>
  <c r="P3" i="1"/>
  <c r="Q3" i="1"/>
  <c r="R3" i="1"/>
  <c r="S3" i="1"/>
  <c r="B4" i="1"/>
  <c r="C4" i="1"/>
  <c r="D4" i="1"/>
  <c r="E4" i="1"/>
  <c r="H4" i="1"/>
  <c r="I4" i="1"/>
  <c r="J4" i="1"/>
  <c r="K4" i="1"/>
  <c r="N4" i="1"/>
  <c r="P4" i="1"/>
  <c r="Q4" i="1"/>
  <c r="R4" i="1"/>
  <c r="S4" i="1"/>
  <c r="B5" i="1"/>
  <c r="C5" i="1"/>
  <c r="D5" i="1"/>
  <c r="E5" i="1"/>
  <c r="F5" i="1" s="1"/>
  <c r="H5" i="1"/>
  <c r="I5" i="1"/>
  <c r="J5" i="1"/>
  <c r="K5" i="1"/>
  <c r="N5" i="1"/>
  <c r="P5" i="1"/>
  <c r="Q5" i="1"/>
  <c r="R5" i="1"/>
  <c r="S5" i="1"/>
  <c r="B6" i="1"/>
  <c r="C6" i="1"/>
  <c r="D6" i="1"/>
  <c r="E6" i="1"/>
  <c r="H6" i="1"/>
  <c r="I6" i="1"/>
  <c r="J6" i="1"/>
  <c r="K6" i="1"/>
  <c r="N6" i="1"/>
  <c r="P6" i="1"/>
  <c r="Q6" i="1"/>
  <c r="R6" i="1"/>
  <c r="S6" i="1"/>
  <c r="B7" i="1"/>
  <c r="C7" i="1"/>
  <c r="D7" i="1"/>
  <c r="E7" i="1"/>
  <c r="H7" i="1"/>
  <c r="I7" i="1"/>
  <c r="J7" i="1"/>
  <c r="K7" i="1"/>
  <c r="N7" i="1"/>
  <c r="P7" i="1"/>
  <c r="Q7" i="1"/>
  <c r="R7" i="1"/>
  <c r="S7" i="1"/>
  <c r="B8" i="1"/>
  <c r="C8" i="1"/>
  <c r="D8" i="1"/>
  <c r="E8" i="1"/>
  <c r="H8" i="1"/>
  <c r="I8" i="1"/>
  <c r="J8" i="1"/>
  <c r="K8" i="1"/>
  <c r="N8" i="1"/>
  <c r="P8" i="1"/>
  <c r="Q8" i="1"/>
  <c r="R8" i="1"/>
  <c r="S8" i="1"/>
  <c r="B9" i="1"/>
  <c r="C9" i="1"/>
  <c r="D9" i="1"/>
  <c r="F9" i="1" s="1"/>
  <c r="E9" i="1"/>
  <c r="H9" i="1"/>
  <c r="I9" i="1"/>
  <c r="J9" i="1"/>
  <c r="K9" i="1"/>
  <c r="N9" i="1"/>
  <c r="P9" i="1"/>
  <c r="Q9" i="1"/>
  <c r="R9" i="1"/>
  <c r="S9" i="1"/>
  <c r="B10" i="1"/>
  <c r="C10" i="1"/>
  <c r="D10" i="1"/>
  <c r="E10" i="1"/>
  <c r="H10" i="1"/>
  <c r="I10" i="1"/>
  <c r="J10" i="1"/>
  <c r="K10" i="1"/>
  <c r="N10" i="1"/>
  <c r="P10" i="1"/>
  <c r="Q10" i="1"/>
  <c r="R10" i="1"/>
  <c r="S10" i="1"/>
  <c r="B11" i="1"/>
  <c r="C11" i="1"/>
  <c r="D11" i="1"/>
  <c r="E11" i="1"/>
  <c r="H11" i="1"/>
  <c r="I11" i="1"/>
  <c r="J11" i="1"/>
  <c r="K11" i="1"/>
  <c r="N11" i="1"/>
  <c r="P11" i="1"/>
  <c r="Q11" i="1"/>
  <c r="R11" i="1"/>
  <c r="S11" i="1"/>
  <c r="B12" i="1"/>
  <c r="C12" i="1"/>
  <c r="D12" i="1"/>
  <c r="E12" i="1"/>
  <c r="H12" i="1"/>
  <c r="I12" i="1"/>
  <c r="J12" i="1"/>
  <c r="K12" i="1"/>
  <c r="N12" i="1"/>
  <c r="P12" i="1"/>
  <c r="Q12" i="1"/>
  <c r="R12" i="1"/>
  <c r="S12" i="1"/>
  <c r="B13" i="1"/>
  <c r="C13" i="1"/>
  <c r="D13" i="1"/>
  <c r="E13" i="1"/>
  <c r="H13" i="1"/>
  <c r="I13" i="1"/>
  <c r="J13" i="1"/>
  <c r="K13" i="1"/>
  <c r="N13" i="1"/>
  <c r="P13" i="1"/>
  <c r="Q13" i="1"/>
  <c r="R13" i="1"/>
  <c r="S13" i="1"/>
  <c r="B14" i="1"/>
  <c r="C14" i="1"/>
  <c r="D14" i="1"/>
  <c r="F14" i="1" s="1"/>
  <c r="E14" i="1"/>
  <c r="H14" i="1"/>
  <c r="I14" i="1"/>
  <c r="J14" i="1"/>
  <c r="K14" i="1"/>
  <c r="N14" i="1"/>
  <c r="P14" i="1"/>
  <c r="Q14" i="1"/>
  <c r="R14" i="1"/>
  <c r="S14" i="1"/>
  <c r="B15" i="1"/>
  <c r="C15" i="1"/>
  <c r="D15" i="1"/>
  <c r="E15" i="1"/>
  <c r="H15" i="1"/>
  <c r="I15" i="1"/>
  <c r="J15" i="1"/>
  <c r="K15" i="1"/>
  <c r="N15" i="1"/>
  <c r="P15" i="1"/>
  <c r="Q15" i="1"/>
  <c r="R15" i="1"/>
  <c r="S15" i="1"/>
  <c r="B16" i="1"/>
  <c r="C16" i="1"/>
  <c r="D16" i="1"/>
  <c r="E16" i="1"/>
  <c r="H16" i="1"/>
  <c r="I16" i="1"/>
  <c r="J16" i="1"/>
  <c r="K16" i="1"/>
  <c r="N16" i="1"/>
  <c r="P16" i="1"/>
  <c r="Q16" i="1"/>
  <c r="R16" i="1"/>
  <c r="S16" i="1"/>
  <c r="B17" i="1"/>
  <c r="C17" i="1"/>
  <c r="D17" i="1"/>
  <c r="E17" i="1"/>
  <c r="H17" i="1"/>
  <c r="I17" i="1"/>
  <c r="J17" i="1"/>
  <c r="K17" i="1"/>
  <c r="N17" i="1"/>
  <c r="P17" i="1"/>
  <c r="Q17" i="1"/>
  <c r="R17" i="1"/>
  <c r="S17" i="1"/>
  <c r="B18" i="1"/>
  <c r="C18" i="1"/>
  <c r="D18" i="1"/>
  <c r="F18" i="1" s="1"/>
  <c r="E18" i="1"/>
  <c r="H18" i="1"/>
  <c r="I18" i="1"/>
  <c r="J18" i="1"/>
  <c r="K18" i="1"/>
  <c r="N18" i="1"/>
  <c r="P18" i="1"/>
  <c r="Q18" i="1"/>
  <c r="R18" i="1"/>
  <c r="S18" i="1"/>
  <c r="B19" i="1"/>
  <c r="C19" i="1"/>
  <c r="D19" i="1"/>
  <c r="E19" i="1"/>
  <c r="H19" i="1"/>
  <c r="I19" i="1"/>
  <c r="J19" i="1"/>
  <c r="K19" i="1"/>
  <c r="N19" i="1"/>
  <c r="P19" i="1"/>
  <c r="Q19" i="1"/>
  <c r="R19" i="1"/>
  <c r="S19" i="1"/>
  <c r="B20" i="1"/>
  <c r="C20" i="1"/>
  <c r="D20" i="1"/>
  <c r="F20" i="1" s="1"/>
  <c r="E20" i="1"/>
  <c r="H20" i="1"/>
  <c r="I20" i="1"/>
  <c r="J20" i="1"/>
  <c r="K20" i="1"/>
  <c r="N20" i="1"/>
  <c r="P20" i="1"/>
  <c r="Q20" i="1"/>
  <c r="R20" i="1"/>
  <c r="S20" i="1"/>
  <c r="B21" i="1"/>
  <c r="C21" i="1"/>
  <c r="D21" i="1"/>
  <c r="F21" i="1" s="1"/>
  <c r="E21" i="1"/>
  <c r="H21" i="1"/>
  <c r="I21" i="1"/>
  <c r="J21" i="1"/>
  <c r="K21" i="1"/>
  <c r="N21" i="1"/>
  <c r="P21" i="1"/>
  <c r="Q21" i="1"/>
  <c r="R21" i="1"/>
  <c r="S21" i="1"/>
  <c r="B22" i="1"/>
  <c r="C22" i="1"/>
  <c r="D22" i="1"/>
  <c r="E22" i="1"/>
  <c r="H22" i="1"/>
  <c r="I22" i="1"/>
  <c r="J22" i="1"/>
  <c r="K22" i="1"/>
  <c r="N22" i="1"/>
  <c r="P22" i="1"/>
  <c r="Q22" i="1"/>
  <c r="R22" i="1"/>
  <c r="S22" i="1"/>
  <c r="B23" i="1"/>
  <c r="C23" i="1"/>
  <c r="D23" i="1"/>
  <c r="E23" i="1"/>
  <c r="H23" i="1"/>
  <c r="I23" i="1"/>
  <c r="J23" i="1"/>
  <c r="K23" i="1"/>
  <c r="N23" i="1"/>
  <c r="P23" i="1"/>
  <c r="Q23" i="1"/>
  <c r="R23" i="1"/>
  <c r="S23" i="1"/>
  <c r="B24" i="1"/>
  <c r="C24" i="1"/>
  <c r="D24" i="1"/>
  <c r="E24" i="1"/>
  <c r="H24" i="1"/>
  <c r="I24" i="1"/>
  <c r="J24" i="1"/>
  <c r="K24" i="1"/>
  <c r="N24" i="1"/>
  <c r="P24" i="1"/>
  <c r="Q24" i="1"/>
  <c r="R24" i="1"/>
  <c r="S24" i="1"/>
  <c r="B25" i="1"/>
  <c r="C25" i="1"/>
  <c r="D25" i="1"/>
  <c r="E25" i="1"/>
  <c r="H25" i="1"/>
  <c r="I25" i="1"/>
  <c r="J25" i="1"/>
  <c r="K25" i="1"/>
  <c r="N25" i="1"/>
  <c r="P25" i="1"/>
  <c r="Q25" i="1"/>
  <c r="R25" i="1"/>
  <c r="S25" i="1"/>
  <c r="B26" i="1"/>
  <c r="C26" i="1"/>
  <c r="D26" i="1"/>
  <c r="F26" i="1" s="1"/>
  <c r="E26" i="1"/>
  <c r="H26" i="1"/>
  <c r="I26" i="1"/>
  <c r="J26" i="1"/>
  <c r="K26" i="1"/>
  <c r="N26" i="1"/>
  <c r="P26" i="1"/>
  <c r="Q26" i="1"/>
  <c r="R26" i="1"/>
  <c r="S26" i="1"/>
  <c r="B27" i="1"/>
  <c r="C27" i="1"/>
  <c r="D27" i="1"/>
  <c r="E27" i="1"/>
  <c r="H27" i="1"/>
  <c r="I27" i="1"/>
  <c r="J27" i="1"/>
  <c r="K27" i="1"/>
  <c r="N27" i="1"/>
  <c r="P27" i="1"/>
  <c r="Q27" i="1"/>
  <c r="R27" i="1"/>
  <c r="S27" i="1"/>
  <c r="B28" i="1"/>
  <c r="C28" i="1"/>
  <c r="D28" i="1"/>
  <c r="E28" i="1"/>
  <c r="H28" i="1"/>
  <c r="I28" i="1"/>
  <c r="J28" i="1"/>
  <c r="K28" i="1"/>
  <c r="N28" i="1"/>
  <c r="P28" i="1"/>
  <c r="Q28" i="1"/>
  <c r="R28" i="1"/>
  <c r="S28" i="1"/>
  <c r="B29" i="1"/>
  <c r="C29" i="1"/>
  <c r="D29" i="1"/>
  <c r="E29" i="1"/>
  <c r="H29" i="1"/>
  <c r="I29" i="1"/>
  <c r="J29" i="1"/>
  <c r="K29" i="1"/>
  <c r="N29" i="1"/>
  <c r="P29" i="1"/>
  <c r="Q29" i="1"/>
  <c r="R29" i="1"/>
  <c r="S29" i="1"/>
  <c r="B30" i="1"/>
  <c r="C30" i="1"/>
  <c r="D30" i="1"/>
  <c r="E30" i="1"/>
  <c r="F30" i="1" s="1"/>
  <c r="H30" i="1"/>
  <c r="I30" i="1"/>
  <c r="J30" i="1"/>
  <c r="K30" i="1"/>
  <c r="N30" i="1"/>
  <c r="P30" i="1"/>
  <c r="Q30" i="1"/>
  <c r="R30" i="1"/>
  <c r="S30" i="1"/>
  <c r="B31" i="1"/>
  <c r="C31" i="1"/>
  <c r="D31" i="1"/>
  <c r="E31" i="1"/>
  <c r="H31" i="1"/>
  <c r="I31" i="1"/>
  <c r="J31" i="1"/>
  <c r="K31" i="1"/>
  <c r="N31" i="1"/>
  <c r="P31" i="1"/>
  <c r="Q31" i="1"/>
  <c r="R31" i="1"/>
  <c r="S31" i="1"/>
  <c r="B32" i="1"/>
  <c r="C32" i="1"/>
  <c r="D32" i="1"/>
  <c r="E32" i="1"/>
  <c r="H32" i="1"/>
  <c r="I32" i="1"/>
  <c r="J32" i="1"/>
  <c r="K32" i="1"/>
  <c r="N32" i="1"/>
  <c r="P32" i="1"/>
  <c r="Q32" i="1"/>
  <c r="R32" i="1"/>
  <c r="S32" i="1"/>
  <c r="B33" i="1"/>
  <c r="C33" i="1"/>
  <c r="D33" i="1"/>
  <c r="E33" i="1"/>
  <c r="H33" i="1"/>
  <c r="I33" i="1"/>
  <c r="J33" i="1"/>
  <c r="K33" i="1"/>
  <c r="N33" i="1"/>
  <c r="P33" i="1"/>
  <c r="Q33" i="1"/>
  <c r="R33" i="1"/>
  <c r="S33" i="1"/>
  <c r="B34" i="1"/>
  <c r="C34" i="1"/>
  <c r="D34" i="1"/>
  <c r="F34" i="1" s="1"/>
  <c r="E34" i="1"/>
  <c r="H34" i="1"/>
  <c r="I34" i="1"/>
  <c r="J34" i="1"/>
  <c r="K34" i="1"/>
  <c r="N34" i="1"/>
  <c r="P34" i="1"/>
  <c r="Q34" i="1"/>
  <c r="R34" i="1"/>
  <c r="S34" i="1"/>
  <c r="B35" i="1"/>
  <c r="C35" i="1"/>
  <c r="D35" i="1"/>
  <c r="E35" i="1"/>
  <c r="F35" i="1" s="1"/>
  <c r="H35" i="1"/>
  <c r="I35" i="1"/>
  <c r="J35" i="1"/>
  <c r="K35" i="1"/>
  <c r="N35" i="1"/>
  <c r="P35" i="1"/>
  <c r="Q35" i="1"/>
  <c r="R35" i="1"/>
  <c r="S35" i="1"/>
  <c r="B36" i="1"/>
  <c r="C36" i="1"/>
  <c r="D36" i="1"/>
  <c r="E36" i="1"/>
  <c r="H36" i="1"/>
  <c r="I36" i="1"/>
  <c r="J36" i="1"/>
  <c r="K36" i="1"/>
  <c r="N36" i="1"/>
  <c r="P36" i="1"/>
  <c r="Q36" i="1"/>
  <c r="R36" i="1"/>
  <c r="S36" i="1"/>
  <c r="B37" i="1"/>
  <c r="C37" i="1"/>
  <c r="D37" i="1"/>
  <c r="E37" i="1"/>
  <c r="H37" i="1"/>
  <c r="I37" i="1"/>
  <c r="J37" i="1"/>
  <c r="K37" i="1"/>
  <c r="N37" i="1"/>
  <c r="P37" i="1"/>
  <c r="Q37" i="1"/>
  <c r="R37" i="1"/>
  <c r="S37" i="1"/>
  <c r="B38" i="1"/>
  <c r="C38" i="1"/>
  <c r="D38" i="1"/>
  <c r="E38" i="1"/>
  <c r="H38" i="1"/>
  <c r="I38" i="1"/>
  <c r="J38" i="1"/>
  <c r="K38" i="1"/>
  <c r="N38" i="1"/>
  <c r="P38" i="1"/>
  <c r="Q38" i="1"/>
  <c r="R38" i="1"/>
  <c r="S38" i="1"/>
  <c r="B39" i="1"/>
  <c r="C39" i="1"/>
  <c r="D39" i="1"/>
  <c r="E39" i="1"/>
  <c r="H39" i="1"/>
  <c r="I39" i="1"/>
  <c r="J39" i="1"/>
  <c r="K39" i="1"/>
  <c r="N39" i="1"/>
  <c r="P39" i="1"/>
  <c r="Q39" i="1"/>
  <c r="R39" i="1"/>
  <c r="S39" i="1"/>
  <c r="B40" i="1"/>
  <c r="C40" i="1"/>
  <c r="D40" i="1"/>
  <c r="E40" i="1"/>
  <c r="H40" i="1"/>
  <c r="I40" i="1"/>
  <c r="J40" i="1"/>
  <c r="K40" i="1"/>
  <c r="N40" i="1"/>
  <c r="P40" i="1"/>
  <c r="Q40" i="1"/>
  <c r="R40" i="1"/>
  <c r="S40" i="1"/>
  <c r="B41" i="1"/>
  <c r="C41" i="1"/>
  <c r="D41" i="1"/>
  <c r="E41" i="1"/>
  <c r="H41" i="1"/>
  <c r="I41" i="1"/>
  <c r="J41" i="1"/>
  <c r="K41" i="1"/>
  <c r="N41" i="1"/>
  <c r="P41" i="1"/>
  <c r="Q41" i="1"/>
  <c r="R41" i="1"/>
  <c r="S41" i="1"/>
  <c r="B42" i="1"/>
  <c r="C42" i="1"/>
  <c r="D42" i="1"/>
  <c r="E42" i="1"/>
  <c r="H42" i="1"/>
  <c r="I42" i="1"/>
  <c r="J42" i="1"/>
  <c r="K42" i="1"/>
  <c r="N42" i="1"/>
  <c r="P42" i="1"/>
  <c r="Q42" i="1"/>
  <c r="R42" i="1"/>
  <c r="S42" i="1"/>
  <c r="B43" i="1"/>
  <c r="C43" i="1"/>
  <c r="D43" i="1"/>
  <c r="E43" i="1"/>
  <c r="F43" i="1" s="1"/>
  <c r="H43" i="1"/>
  <c r="I43" i="1"/>
  <c r="J43" i="1"/>
  <c r="K43" i="1"/>
  <c r="N43" i="1"/>
  <c r="P43" i="1"/>
  <c r="Q43" i="1"/>
  <c r="R43" i="1"/>
  <c r="S43" i="1"/>
  <c r="B44" i="1"/>
  <c r="C44" i="1"/>
  <c r="D44" i="1"/>
  <c r="E44" i="1"/>
  <c r="H44" i="1"/>
  <c r="I44" i="1"/>
  <c r="J44" i="1"/>
  <c r="K44" i="1"/>
  <c r="N44" i="1"/>
  <c r="P44" i="1"/>
  <c r="Q44" i="1"/>
  <c r="R44" i="1"/>
  <c r="S44" i="1"/>
  <c r="B45" i="1"/>
  <c r="C45" i="1"/>
  <c r="D45" i="1"/>
  <c r="F45" i="1" s="1"/>
  <c r="E45" i="1"/>
  <c r="H45" i="1"/>
  <c r="I45" i="1"/>
  <c r="J45" i="1"/>
  <c r="K45" i="1"/>
  <c r="N45" i="1"/>
  <c r="P45" i="1"/>
  <c r="Q45" i="1"/>
  <c r="R45" i="1"/>
  <c r="S45" i="1"/>
  <c r="B46" i="1"/>
  <c r="C46" i="1"/>
  <c r="D46" i="1"/>
  <c r="E46" i="1"/>
  <c r="H46" i="1"/>
  <c r="I46" i="1"/>
  <c r="J46" i="1"/>
  <c r="K46" i="1"/>
  <c r="N46" i="1"/>
  <c r="P46" i="1"/>
  <c r="Q46" i="1"/>
  <c r="R46" i="1"/>
  <c r="S46" i="1"/>
  <c r="B47" i="1"/>
  <c r="C47" i="1"/>
  <c r="D47" i="1"/>
  <c r="F47" i="1" s="1"/>
  <c r="E47" i="1"/>
  <c r="H47" i="1"/>
  <c r="I47" i="1"/>
  <c r="J47" i="1"/>
  <c r="K47" i="1"/>
  <c r="N47" i="1"/>
  <c r="P47" i="1"/>
  <c r="Q47" i="1"/>
  <c r="R47" i="1"/>
  <c r="S47" i="1"/>
  <c r="B48" i="1"/>
  <c r="C48" i="1"/>
  <c r="D48" i="1"/>
  <c r="E48" i="1"/>
  <c r="H48" i="1"/>
  <c r="I48" i="1"/>
  <c r="J48" i="1"/>
  <c r="K48" i="1"/>
  <c r="N48" i="1"/>
  <c r="P48" i="1"/>
  <c r="Q48" i="1"/>
  <c r="R48" i="1"/>
  <c r="S48" i="1"/>
  <c r="B49" i="1"/>
  <c r="C49" i="1"/>
  <c r="D49" i="1"/>
  <c r="E49" i="1"/>
  <c r="H49" i="1"/>
  <c r="I49" i="1"/>
  <c r="J49" i="1"/>
  <c r="K49" i="1"/>
  <c r="N49" i="1"/>
  <c r="P49" i="1"/>
  <c r="Q49" i="1"/>
  <c r="R49" i="1"/>
  <c r="S49" i="1"/>
  <c r="B50" i="1"/>
  <c r="C50" i="1"/>
  <c r="D50" i="1"/>
  <c r="F50" i="1" s="1"/>
  <c r="E50" i="1"/>
  <c r="H50" i="1"/>
  <c r="I50" i="1"/>
  <c r="J50" i="1"/>
  <c r="K50" i="1"/>
  <c r="N50" i="1"/>
  <c r="P50" i="1"/>
  <c r="Q50" i="1"/>
  <c r="R50" i="1"/>
  <c r="S50" i="1"/>
  <c r="B51" i="1"/>
  <c r="C51" i="1"/>
  <c r="D51" i="1"/>
  <c r="E51" i="1"/>
  <c r="F51" i="1" s="1"/>
  <c r="H51" i="1"/>
  <c r="I51" i="1"/>
  <c r="J51" i="1"/>
  <c r="K51" i="1"/>
  <c r="N51" i="1"/>
  <c r="P51" i="1"/>
  <c r="Q51" i="1"/>
  <c r="R51" i="1"/>
  <c r="S51" i="1"/>
  <c r="B52" i="1"/>
  <c r="C52" i="1"/>
  <c r="D52" i="1"/>
  <c r="H52" i="1"/>
  <c r="I52" i="1"/>
  <c r="J52" i="1"/>
  <c r="K52" i="1"/>
  <c r="N52" i="1"/>
  <c r="P52" i="1"/>
  <c r="Q52" i="1"/>
  <c r="R52" i="1"/>
  <c r="S52" i="1"/>
  <c r="B53" i="1"/>
  <c r="C53" i="1"/>
  <c r="D53" i="1"/>
  <c r="E53" i="1"/>
  <c r="H53" i="1"/>
  <c r="I53" i="1"/>
  <c r="J53" i="1"/>
  <c r="K53" i="1"/>
  <c r="N53" i="1"/>
  <c r="P53" i="1"/>
  <c r="Q53" i="1"/>
  <c r="R53" i="1"/>
  <c r="S53" i="1"/>
  <c r="B54" i="1"/>
  <c r="C54" i="1"/>
  <c r="D54" i="1"/>
  <c r="H54" i="1"/>
  <c r="I54" i="1"/>
  <c r="J54" i="1"/>
  <c r="K54" i="1"/>
  <c r="N54" i="1"/>
  <c r="P54" i="1"/>
  <c r="Q54" i="1"/>
  <c r="R54" i="1"/>
  <c r="S54" i="1"/>
  <c r="B55" i="1"/>
  <c r="C55" i="1"/>
  <c r="D55" i="1"/>
  <c r="E55" i="1"/>
  <c r="H55" i="1"/>
  <c r="I55" i="1"/>
  <c r="J55" i="1"/>
  <c r="K55" i="1"/>
  <c r="N55" i="1"/>
  <c r="P55" i="1"/>
  <c r="Q55" i="1"/>
  <c r="R55" i="1"/>
  <c r="S55" i="1"/>
  <c r="B56" i="1"/>
  <c r="C56" i="1"/>
  <c r="D56" i="1"/>
  <c r="E56" i="1"/>
  <c r="H56" i="1"/>
  <c r="I56" i="1"/>
  <c r="J56" i="1"/>
  <c r="K56" i="1"/>
  <c r="N56" i="1"/>
  <c r="P56" i="1"/>
  <c r="Q56" i="1"/>
  <c r="R56" i="1"/>
  <c r="S56" i="1"/>
  <c r="B57" i="1"/>
  <c r="C57" i="1"/>
  <c r="D57" i="1"/>
  <c r="E57" i="1"/>
  <c r="H57" i="1"/>
  <c r="I57" i="1"/>
  <c r="J57" i="1"/>
  <c r="K57" i="1"/>
  <c r="N57" i="1"/>
  <c r="P57" i="1"/>
  <c r="Q57" i="1"/>
  <c r="R57" i="1"/>
  <c r="S57" i="1"/>
  <c r="B58" i="1"/>
  <c r="C58" i="1"/>
  <c r="D58" i="1"/>
  <c r="E58" i="1"/>
  <c r="F58" i="1" s="1"/>
  <c r="H58" i="1"/>
  <c r="I58" i="1"/>
  <c r="J58" i="1"/>
  <c r="K58" i="1"/>
  <c r="N58" i="1"/>
  <c r="P58" i="1"/>
  <c r="Q58" i="1"/>
  <c r="R58" i="1"/>
  <c r="S58" i="1"/>
  <c r="B59" i="1"/>
  <c r="C59" i="1"/>
  <c r="D59" i="1"/>
  <c r="E59" i="1"/>
  <c r="H59" i="1"/>
  <c r="I59" i="1"/>
  <c r="J59" i="1"/>
  <c r="K59" i="1"/>
  <c r="N59" i="1"/>
  <c r="P59" i="1"/>
  <c r="Q59" i="1"/>
  <c r="R59" i="1"/>
  <c r="S59" i="1"/>
  <c r="B60" i="1"/>
  <c r="C60" i="1"/>
  <c r="D60" i="1"/>
  <c r="H60" i="1"/>
  <c r="I60" i="1"/>
  <c r="J60" i="1"/>
  <c r="K60" i="1"/>
  <c r="N60" i="1"/>
  <c r="P60" i="1"/>
  <c r="Q60" i="1"/>
  <c r="R60" i="1"/>
  <c r="S60" i="1"/>
  <c r="B61" i="1"/>
  <c r="C61" i="1"/>
  <c r="D61" i="1"/>
  <c r="E61" i="1"/>
  <c r="F61" i="1"/>
  <c r="H61" i="1"/>
  <c r="I61" i="1"/>
  <c r="J61" i="1"/>
  <c r="K61" i="1"/>
  <c r="N61" i="1"/>
  <c r="P61" i="1"/>
  <c r="Q61" i="1"/>
  <c r="R61" i="1"/>
  <c r="S61" i="1"/>
  <c r="B62" i="1"/>
  <c r="C62" i="1"/>
  <c r="D62" i="1"/>
  <c r="E62" i="1"/>
  <c r="H62" i="1"/>
  <c r="I62" i="1"/>
  <c r="J62" i="1"/>
  <c r="K62" i="1"/>
  <c r="N62" i="1"/>
  <c r="P62" i="1"/>
  <c r="Q62" i="1"/>
  <c r="R62" i="1"/>
  <c r="S62" i="1"/>
  <c r="B63" i="1"/>
  <c r="C63" i="1"/>
  <c r="D63" i="1"/>
  <c r="E63" i="1"/>
  <c r="H63" i="1"/>
  <c r="I63" i="1"/>
  <c r="J63" i="1"/>
  <c r="K63" i="1"/>
  <c r="N63" i="1"/>
  <c r="P63" i="1"/>
  <c r="Q63" i="1"/>
  <c r="R63" i="1"/>
  <c r="S63" i="1"/>
  <c r="B64" i="1"/>
  <c r="C64" i="1"/>
  <c r="D64" i="1"/>
  <c r="E64" i="1"/>
  <c r="H64" i="1"/>
  <c r="I64" i="1"/>
  <c r="J64" i="1"/>
  <c r="K64" i="1"/>
  <c r="N64" i="1"/>
  <c r="P64" i="1"/>
  <c r="Q64" i="1"/>
  <c r="R64" i="1"/>
  <c r="S64" i="1"/>
  <c r="B65" i="1"/>
  <c r="C65" i="1"/>
  <c r="D65" i="1"/>
  <c r="F65" i="1" s="1"/>
  <c r="E65" i="1"/>
  <c r="H65" i="1"/>
  <c r="I65" i="1"/>
  <c r="J65" i="1"/>
  <c r="K65" i="1"/>
  <c r="N65" i="1"/>
  <c r="P65" i="1"/>
  <c r="Q65" i="1"/>
  <c r="R65" i="1"/>
  <c r="S65" i="1"/>
  <c r="B66" i="1"/>
  <c r="C66" i="1"/>
  <c r="D66" i="1"/>
  <c r="E66" i="1"/>
  <c r="F66" i="1" s="1"/>
  <c r="H66" i="1"/>
  <c r="I66" i="1"/>
  <c r="J66" i="1"/>
  <c r="K66" i="1"/>
  <c r="N66" i="1"/>
  <c r="P66" i="1"/>
  <c r="Q66" i="1"/>
  <c r="R66" i="1"/>
  <c r="S66" i="1"/>
  <c r="B67" i="1"/>
  <c r="C67" i="1"/>
  <c r="D67" i="1"/>
  <c r="E67" i="1"/>
  <c r="F67" i="1" s="1"/>
  <c r="H67" i="1"/>
  <c r="I67" i="1"/>
  <c r="J67" i="1"/>
  <c r="K67" i="1"/>
  <c r="N67" i="1"/>
  <c r="P67" i="1"/>
  <c r="Q67" i="1"/>
  <c r="R67" i="1"/>
  <c r="S67" i="1"/>
  <c r="B68" i="1"/>
  <c r="C68" i="1"/>
  <c r="D68" i="1"/>
  <c r="H68" i="1"/>
  <c r="I68" i="1"/>
  <c r="J68" i="1"/>
  <c r="K68" i="1"/>
  <c r="N68" i="1"/>
  <c r="P68" i="1"/>
  <c r="Q68" i="1"/>
  <c r="R68" i="1"/>
  <c r="S68" i="1"/>
  <c r="B69" i="1"/>
  <c r="C69" i="1"/>
  <c r="D69" i="1"/>
  <c r="E69" i="1"/>
  <c r="H69" i="1"/>
  <c r="I69" i="1"/>
  <c r="J69" i="1"/>
  <c r="K69" i="1"/>
  <c r="N69" i="1"/>
  <c r="P69" i="1"/>
  <c r="Q69" i="1"/>
  <c r="R69" i="1"/>
  <c r="S69" i="1"/>
  <c r="B70" i="1"/>
  <c r="C70" i="1"/>
  <c r="D70" i="1"/>
  <c r="H70" i="1"/>
  <c r="I70" i="1"/>
  <c r="J70" i="1"/>
  <c r="K70" i="1"/>
  <c r="N70" i="1"/>
  <c r="P70" i="1"/>
  <c r="Q70" i="1"/>
  <c r="R70" i="1"/>
  <c r="S70" i="1"/>
  <c r="B71" i="1"/>
  <c r="C71" i="1"/>
  <c r="D71" i="1"/>
  <c r="E71" i="1"/>
  <c r="H71" i="1"/>
  <c r="I71" i="1"/>
  <c r="J71" i="1"/>
  <c r="K71" i="1"/>
  <c r="N71" i="1"/>
  <c r="P71" i="1"/>
  <c r="Q71" i="1"/>
  <c r="R71" i="1"/>
  <c r="S71" i="1"/>
  <c r="B72" i="1"/>
  <c r="C72" i="1"/>
  <c r="D72" i="1"/>
  <c r="E72" i="1"/>
  <c r="H72" i="1"/>
  <c r="I72" i="1"/>
  <c r="J72" i="1"/>
  <c r="K72" i="1"/>
  <c r="N72" i="1"/>
  <c r="P72" i="1"/>
  <c r="Q72" i="1"/>
  <c r="R72" i="1"/>
  <c r="S72" i="1"/>
  <c r="B73" i="1"/>
  <c r="C73" i="1"/>
  <c r="D73" i="1"/>
  <c r="E73" i="1"/>
  <c r="H73" i="1"/>
  <c r="I73" i="1"/>
  <c r="J73" i="1"/>
  <c r="K73" i="1"/>
  <c r="N73" i="1"/>
  <c r="P73" i="1"/>
  <c r="Q73" i="1"/>
  <c r="R73" i="1"/>
  <c r="S73" i="1"/>
  <c r="B74" i="1"/>
  <c r="C74" i="1"/>
  <c r="D74" i="1"/>
  <c r="F74" i="1" s="1"/>
  <c r="E74" i="1"/>
  <c r="H74" i="1"/>
  <c r="I74" i="1"/>
  <c r="J74" i="1"/>
  <c r="K74" i="1"/>
  <c r="N74" i="1"/>
  <c r="P74" i="1"/>
  <c r="Q74" i="1"/>
  <c r="R74" i="1"/>
  <c r="S74" i="1"/>
  <c r="B75" i="1"/>
  <c r="C75" i="1"/>
  <c r="D75" i="1"/>
  <c r="E75" i="1"/>
  <c r="F75" i="1" s="1"/>
  <c r="H75" i="1"/>
  <c r="I75" i="1"/>
  <c r="J75" i="1"/>
  <c r="K75" i="1"/>
  <c r="N75" i="1"/>
  <c r="P75" i="1"/>
  <c r="Q75" i="1"/>
  <c r="R75" i="1"/>
  <c r="S75" i="1"/>
  <c r="B76" i="1"/>
  <c r="C76" i="1"/>
  <c r="D76" i="1"/>
  <c r="F76" i="1" s="1"/>
  <c r="E76" i="1"/>
  <c r="H76" i="1"/>
  <c r="I76" i="1"/>
  <c r="J76" i="1"/>
  <c r="K76" i="1"/>
  <c r="N76" i="1"/>
  <c r="P76" i="1"/>
  <c r="Q76" i="1"/>
  <c r="R76" i="1"/>
  <c r="S76" i="1"/>
  <c r="B77" i="1"/>
  <c r="C77" i="1"/>
  <c r="D77" i="1"/>
  <c r="E77" i="1"/>
  <c r="H77" i="1"/>
  <c r="I77" i="1"/>
  <c r="J77" i="1"/>
  <c r="K77" i="1"/>
  <c r="N77" i="1"/>
  <c r="P77" i="1"/>
  <c r="Q77" i="1"/>
  <c r="R77" i="1"/>
  <c r="S77" i="1"/>
  <c r="S2" i="1"/>
  <c r="Q2" i="1"/>
  <c r="R2" i="1"/>
  <c r="P2" i="1"/>
  <c r="N2" i="1"/>
  <c r="E2" i="1"/>
  <c r="F69" i="1" l="1"/>
  <c r="F62" i="1"/>
  <c r="F46" i="1"/>
  <c r="F38" i="1"/>
  <c r="F22" i="1"/>
  <c r="F13" i="1"/>
  <c r="F6" i="1"/>
  <c r="F77" i="1"/>
  <c r="F40" i="1"/>
  <c r="F15" i="1"/>
  <c r="F42" i="1"/>
  <c r="F33" i="1"/>
  <c r="F16" i="1"/>
  <c r="F27" i="1"/>
  <c r="F53" i="1"/>
  <c r="F37" i="1"/>
  <c r="F29" i="1"/>
  <c r="F4" i="1"/>
  <c r="F31" i="1"/>
  <c r="F17" i="1"/>
  <c r="F7" i="1"/>
  <c r="F44" i="1"/>
  <c r="F32" i="1"/>
  <c r="F19" i="1"/>
  <c r="F8" i="1"/>
  <c r="F64" i="1"/>
  <c r="F48" i="1"/>
  <c r="F23" i="1"/>
  <c r="F10" i="1"/>
  <c r="F49" i="1"/>
  <c r="F36" i="1"/>
  <c r="F24" i="1"/>
  <c r="F11" i="1"/>
  <c r="F72" i="1"/>
  <c r="F59" i="1"/>
  <c r="F39" i="1"/>
  <c r="F25" i="1"/>
  <c r="F12" i="1"/>
  <c r="F73" i="1"/>
  <c r="F41" i="1"/>
  <c r="F28" i="1"/>
  <c r="F57" i="1"/>
  <c r="F56" i="1"/>
  <c r="F55" i="1"/>
  <c r="E54" i="1"/>
  <c r="F54" i="1" s="1"/>
  <c r="E52" i="1"/>
  <c r="F52" i="1" s="1"/>
  <c r="F71" i="1"/>
  <c r="E70" i="1"/>
  <c r="F70" i="1" s="1"/>
  <c r="E68" i="1"/>
  <c r="F68" i="1" s="1"/>
  <c r="F60" i="1"/>
  <c r="F63" i="1"/>
  <c r="B2" i="1" l="1"/>
  <c r="C2" i="1"/>
  <c r="H2" i="1"/>
  <c r="I2" i="1"/>
  <c r="J2" i="1"/>
  <c r="K2" i="1" l="1"/>
  <c r="D2" i="1"/>
  <c r="F2" i="1" s="1"/>
</calcChain>
</file>

<file path=xl/sharedStrings.xml><?xml version="1.0" encoding="utf-8"?>
<sst xmlns="http://schemas.openxmlformats.org/spreadsheetml/2006/main" count="75" uniqueCount="40">
  <si>
    <t>date</t>
  </si>
  <si>
    <t>PIB</t>
  </si>
  <si>
    <t>Conso</t>
  </si>
  <si>
    <t>ConsoAPU</t>
  </si>
  <si>
    <t>Exp</t>
  </si>
  <si>
    <t>Imp</t>
  </si>
  <si>
    <t>Contrib_stock</t>
  </si>
  <si>
    <t>IPC_H</t>
  </si>
  <si>
    <t>Tcho</t>
  </si>
  <si>
    <t>RdB_nom</t>
  </si>
  <si>
    <t>TauxS</t>
  </si>
  <si>
    <t>EmploiTot</t>
  </si>
  <si>
    <t>MasseSalariale</t>
  </si>
  <si>
    <t>Deficit</t>
  </si>
  <si>
    <t>Dette</t>
  </si>
  <si>
    <t>Population</t>
  </si>
  <si>
    <t>FBCF</t>
  </si>
  <si>
    <t>FBCF_resid</t>
  </si>
  <si>
    <t>impulsion</t>
  </si>
  <si>
    <t>mnémonique (standard)</t>
  </si>
  <si>
    <t>Nom</t>
  </si>
  <si>
    <t>Unité</t>
  </si>
  <si>
    <t>Source</t>
  </si>
  <si>
    <t>TRIM</t>
  </si>
  <si>
    <t>% Pop Act</t>
  </si>
  <si>
    <t>En Milliers</t>
  </si>
  <si>
    <t>FBCF_non résidencielle</t>
  </si>
  <si>
    <t>Deflateur conso</t>
  </si>
  <si>
    <t>FBCF_non résidentielle</t>
  </si>
  <si>
    <t>Conso M+ISBLSM</t>
  </si>
  <si>
    <t>milliards €</t>
  </si>
  <si>
    <t>INE</t>
  </si>
  <si>
    <t>CN</t>
  </si>
  <si>
    <t>http://www.ine.es/jaxiT3/Tabla.htm?t=4028&amp;L=0</t>
  </si>
  <si>
    <t>En Milliers €</t>
  </si>
  <si>
    <t>point de PIB</t>
  </si>
  <si>
    <t>2010=100</t>
  </si>
  <si>
    <t>milliers</t>
  </si>
  <si>
    <t>EPA, pop de plus de 16 ans</t>
  </si>
  <si>
    <t>% de RDB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</si>
</sst>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1"/>
    <xf numFmtId="0" fontId="0" fillId="2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%20partag&#233;s\DAP\donnees_conj\Zone_euro(2)\R&#233;sum&#233;%20Espagne.xls" TargetMode="External"/><Relationship Id="rId1" Type="http://schemas.openxmlformats.org/officeDocument/2006/relationships/externalLinkPath" Target="/Drive%20partag&#233;s/DAP/donnees_conj/Zone_euro(2)/R&#233;sum&#233;%20Espagn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on%20Drive\Espagne\Compta%20nat\MEN_Espagne.xlsx" TargetMode="External"/><Relationship Id="rId1" Type="http://schemas.openxmlformats.org/officeDocument/2006/relationships/externalLinkPath" Target="Compta%20nat/MEN_Espagn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on%20Drive\Espagne\Compta%20nat\RESEM_Espagne.xlsx" TargetMode="External"/><Relationship Id="rId1" Type="http://schemas.openxmlformats.org/officeDocument/2006/relationships/externalLinkPath" Target="Compta%20nat/RESEM_Espag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_ES"/>
      <sheetName val="Données"/>
      <sheetName val="Fi_pu_espagneT"/>
      <sheetName val="Fi_pu_espagne"/>
      <sheetName val="Feuil1"/>
    </sheetNames>
    <sheetDataSet>
      <sheetData sheetId="0"/>
      <sheetData sheetId="1">
        <row r="55">
          <cell r="J55">
            <v>274172.5</v>
          </cell>
          <cell r="K55">
            <v>160694</v>
          </cell>
          <cell r="L55">
            <v>49244.9</v>
          </cell>
          <cell r="M55">
            <v>77776.2</v>
          </cell>
          <cell r="N55">
            <v>71157</v>
          </cell>
          <cell r="O55">
            <v>87067.6</v>
          </cell>
          <cell r="P55">
            <v>2367.9999999999709</v>
          </cell>
          <cell r="R55">
            <v>8.1999999999999993</v>
          </cell>
          <cell r="AJ55">
            <v>14942.572159999998</v>
          </cell>
        </row>
        <row r="56">
          <cell r="J56">
            <v>276578.7</v>
          </cell>
          <cell r="K56">
            <v>162011.1</v>
          </cell>
          <cell r="L56">
            <v>49973.8</v>
          </cell>
          <cell r="M56">
            <v>78283.8</v>
          </cell>
          <cell r="N56">
            <v>71801.3</v>
          </cell>
          <cell r="O56">
            <v>87849.8</v>
          </cell>
          <cell r="P56">
            <v>2358.5000000000291</v>
          </cell>
          <cell r="R56">
            <v>8</v>
          </cell>
          <cell r="AJ56">
            <v>14977.714303999999</v>
          </cell>
        </row>
        <row r="57">
          <cell r="J57">
            <v>278651.59999999998</v>
          </cell>
          <cell r="K57">
            <v>163101.9</v>
          </cell>
          <cell r="L57">
            <v>50807.7</v>
          </cell>
          <cell r="M57">
            <v>78216.3</v>
          </cell>
          <cell r="N57">
            <v>73036</v>
          </cell>
          <cell r="O57">
            <v>88948.4</v>
          </cell>
          <cell r="P57">
            <v>2438.1000000000058</v>
          </cell>
          <cell r="R57">
            <v>8.1999999999999993</v>
          </cell>
          <cell r="AJ57">
            <v>14929.009088000001</v>
          </cell>
        </row>
        <row r="58">
          <cell r="J58">
            <v>280353.59999999998</v>
          </cell>
          <cell r="K58">
            <v>164591.6</v>
          </cell>
          <cell r="L58">
            <v>51141.8</v>
          </cell>
          <cell r="M58">
            <v>78586.8</v>
          </cell>
          <cell r="N58">
            <v>72757.5</v>
          </cell>
          <cell r="O58">
            <v>89112.5</v>
          </cell>
          <cell r="P58">
            <v>2388.3999999999942</v>
          </cell>
          <cell r="R58">
            <v>8.6</v>
          </cell>
          <cell r="AJ58">
            <v>14862.241151999999</v>
          </cell>
        </row>
        <row r="59">
          <cell r="J59">
            <v>280877.5</v>
          </cell>
          <cell r="K59">
            <v>164543.5</v>
          </cell>
          <cell r="L59">
            <v>51975.7</v>
          </cell>
          <cell r="M59">
            <v>77607.3</v>
          </cell>
          <cell r="N59">
            <v>73397.100000000006</v>
          </cell>
          <cell r="O59">
            <v>88729.1</v>
          </cell>
          <cell r="P59">
            <v>2083</v>
          </cell>
          <cell r="R59">
            <v>9.3000000000000007</v>
          </cell>
          <cell r="AJ59">
            <v>14561.352575999999</v>
          </cell>
        </row>
        <row r="60">
          <cell r="J60">
            <v>280976.59999999998</v>
          </cell>
          <cell r="K60">
            <v>163031.9</v>
          </cell>
          <cell r="L60">
            <v>52555</v>
          </cell>
          <cell r="M60">
            <v>76671.899999999994</v>
          </cell>
          <cell r="N60">
            <v>72097.399999999994</v>
          </cell>
          <cell r="O60">
            <v>85791.3</v>
          </cell>
          <cell r="P60">
            <v>2411.7000000000116</v>
          </cell>
          <cell r="R60">
            <v>10.4</v>
          </cell>
          <cell r="AJ60">
            <v>14004.956672</v>
          </cell>
        </row>
        <row r="61">
          <cell r="J61">
            <v>280381.90000000002</v>
          </cell>
          <cell r="K61">
            <v>160615</v>
          </cell>
          <cell r="L61">
            <v>52949.7</v>
          </cell>
          <cell r="M61">
            <v>74383.399999999994</v>
          </cell>
          <cell r="N61">
            <v>72946.899999999994</v>
          </cell>
          <cell r="O61">
            <v>82618.8</v>
          </cell>
          <cell r="P61">
            <v>2105.7000000000698</v>
          </cell>
          <cell r="R61">
            <v>11.5</v>
          </cell>
          <cell r="AJ61">
            <v>13403.660479999999</v>
          </cell>
        </row>
        <row r="62">
          <cell r="J62">
            <v>276034</v>
          </cell>
          <cell r="K62">
            <v>158069.9</v>
          </cell>
          <cell r="L62">
            <v>53646.400000000001</v>
          </cell>
          <cell r="M62">
            <v>71068.399999999994</v>
          </cell>
          <cell r="N62">
            <v>67733.3</v>
          </cell>
          <cell r="O62">
            <v>76397</v>
          </cell>
          <cell r="P62">
            <v>1913.0000000000291</v>
          </cell>
          <cell r="R62">
            <v>13.8</v>
          </cell>
          <cell r="AJ62">
            <v>12643.262719999999</v>
          </cell>
        </row>
        <row r="63">
          <cell r="J63">
            <v>268652.09999999998</v>
          </cell>
          <cell r="K63">
            <v>156450.1</v>
          </cell>
          <cell r="L63">
            <v>54125.3</v>
          </cell>
          <cell r="M63">
            <v>65580.600000000006</v>
          </cell>
          <cell r="N63">
            <v>61159.6</v>
          </cell>
          <cell r="O63">
            <v>65695.600000000006</v>
          </cell>
          <cell r="P63">
            <v>-2967.9000000000524</v>
          </cell>
          <cell r="R63">
            <v>16.7</v>
          </cell>
          <cell r="AJ63">
            <v>11841.342079999999</v>
          </cell>
        </row>
        <row r="64">
          <cell r="J64">
            <v>268828.7</v>
          </cell>
          <cell r="K64">
            <v>155136.70000000001</v>
          </cell>
          <cell r="L64">
            <v>54593.9</v>
          </cell>
          <cell r="M64">
            <v>61114.2</v>
          </cell>
          <cell r="N64">
            <v>62623.6</v>
          </cell>
          <cell r="O64">
            <v>66433.5</v>
          </cell>
          <cell r="P64">
            <v>1793.8000000000175</v>
          </cell>
          <cell r="R64">
            <v>17.899999999999999</v>
          </cell>
          <cell r="AJ64">
            <v>10905.564928000002</v>
          </cell>
        </row>
        <row r="65">
          <cell r="J65">
            <v>269358.2</v>
          </cell>
          <cell r="K65">
            <v>155902.9</v>
          </cell>
          <cell r="L65">
            <v>55147.6</v>
          </cell>
          <cell r="M65">
            <v>61151</v>
          </cell>
          <cell r="N65">
            <v>65555.399999999994</v>
          </cell>
          <cell r="O65">
            <v>70252.3</v>
          </cell>
          <cell r="P65">
            <v>1853.5999999999767</v>
          </cell>
          <cell r="R65">
            <v>18.2</v>
          </cell>
          <cell r="AJ65">
            <v>10518.124928000001</v>
          </cell>
        </row>
        <row r="66">
          <cell r="J66">
            <v>269293.09999999998</v>
          </cell>
          <cell r="K66">
            <v>155964.79999999999</v>
          </cell>
          <cell r="L66">
            <v>55249.8</v>
          </cell>
          <cell r="M66">
            <v>60545.1</v>
          </cell>
          <cell r="N66">
            <v>65943.399999999994</v>
          </cell>
          <cell r="O66">
            <v>70110</v>
          </cell>
          <cell r="P66">
            <v>1699.9999999999418</v>
          </cell>
          <cell r="R66">
            <v>18.7</v>
          </cell>
          <cell r="AJ66">
            <v>10321.690176</v>
          </cell>
        </row>
        <row r="67">
          <cell r="J67">
            <v>269052.40000000002</v>
          </cell>
          <cell r="K67">
            <v>156892.79999999999</v>
          </cell>
          <cell r="L67">
            <v>55101.2</v>
          </cell>
          <cell r="M67">
            <v>59396.800000000003</v>
          </cell>
          <cell r="N67">
            <v>66569.100000000006</v>
          </cell>
          <cell r="O67">
            <v>70397.3</v>
          </cell>
          <cell r="P67">
            <v>1489.7999999999884</v>
          </cell>
          <cell r="R67">
            <v>19.3</v>
          </cell>
          <cell r="AJ67">
            <v>9716.3859840000005</v>
          </cell>
        </row>
        <row r="68">
          <cell r="J68">
            <v>269384.7</v>
          </cell>
          <cell r="K68">
            <v>157420.9</v>
          </cell>
          <cell r="L68">
            <v>55070</v>
          </cell>
          <cell r="M68">
            <v>59488.9</v>
          </cell>
          <cell r="N68">
            <v>68202.100000000006</v>
          </cell>
          <cell r="O68">
            <v>72372.399999999994</v>
          </cell>
          <cell r="P68">
            <v>1575.2000000000116</v>
          </cell>
          <cell r="R68">
            <v>20</v>
          </cell>
          <cell r="AJ68">
            <v>9701.5724160000009</v>
          </cell>
        </row>
        <row r="69">
          <cell r="J69">
            <v>269214.7</v>
          </cell>
          <cell r="K69">
            <v>155923.9</v>
          </cell>
          <cell r="L69">
            <v>55229.9</v>
          </cell>
          <cell r="M69">
            <v>58773.5</v>
          </cell>
          <cell r="N69">
            <v>70400.399999999994</v>
          </cell>
          <cell r="O69">
            <v>72431.399999999994</v>
          </cell>
          <cell r="P69">
            <v>1318.3999999999651</v>
          </cell>
          <cell r="R69">
            <v>20</v>
          </cell>
          <cell r="AJ69">
            <v>9406.4339839999993</v>
          </cell>
        </row>
        <row r="70">
          <cell r="J70">
            <v>269493.2</v>
          </cell>
          <cell r="K70">
            <v>156167.5</v>
          </cell>
          <cell r="L70">
            <v>55248.9</v>
          </cell>
          <cell r="M70">
            <v>57957.8</v>
          </cell>
          <cell r="N70">
            <v>73031.399999999994</v>
          </cell>
          <cell r="O70">
            <v>74179.899999999994</v>
          </cell>
          <cell r="P70">
            <v>1267.4999999999709</v>
          </cell>
          <cell r="R70">
            <v>20.2</v>
          </cell>
          <cell r="AJ70">
            <v>9031.4241280000006</v>
          </cell>
        </row>
        <row r="71">
          <cell r="J71">
            <v>269280.8</v>
          </cell>
          <cell r="K71">
            <v>154629.5</v>
          </cell>
          <cell r="L71">
            <v>55779.9</v>
          </cell>
          <cell r="M71">
            <v>56039.8</v>
          </cell>
          <cell r="N71">
            <v>75082.100000000006</v>
          </cell>
          <cell r="O71">
            <v>74042.100000000006</v>
          </cell>
          <cell r="P71">
            <v>1791.600000000064</v>
          </cell>
          <cell r="R71">
            <v>20.5</v>
          </cell>
          <cell r="AJ71">
            <v>8655.5057919999999</v>
          </cell>
        </row>
        <row r="72">
          <cell r="J72">
            <v>268584.2</v>
          </cell>
          <cell r="K72">
            <v>153096.1</v>
          </cell>
          <cell r="L72">
            <v>55726.9</v>
          </cell>
          <cell r="M72">
            <v>54859.8</v>
          </cell>
          <cell r="N72">
            <v>75109.899999999994</v>
          </cell>
          <cell r="O72">
            <v>71694.399999999994</v>
          </cell>
          <cell r="P72">
            <v>1485.8999999999651</v>
          </cell>
          <cell r="R72">
            <v>20.8</v>
          </cell>
          <cell r="AJ72">
            <v>8324.680128</v>
          </cell>
        </row>
        <row r="73">
          <cell r="J73">
            <v>266945.40000000002</v>
          </cell>
          <cell r="K73">
            <v>152468.9</v>
          </cell>
          <cell r="L73">
            <v>55414.5</v>
          </cell>
          <cell r="M73">
            <v>54498.5</v>
          </cell>
          <cell r="N73">
            <v>75221.3</v>
          </cell>
          <cell r="O73">
            <v>71870.3</v>
          </cell>
          <cell r="P73">
            <v>1212.5000000000291</v>
          </cell>
          <cell r="R73">
            <v>21.7</v>
          </cell>
          <cell r="AJ73">
            <v>8198.3907200000012</v>
          </cell>
        </row>
        <row r="74">
          <cell r="J74">
            <v>265441.7</v>
          </cell>
          <cell r="K74">
            <v>151076.4</v>
          </cell>
          <cell r="L74">
            <v>54962.1</v>
          </cell>
          <cell r="M74">
            <v>52912.1</v>
          </cell>
          <cell r="N74">
            <v>75618.7</v>
          </cell>
          <cell r="O74">
            <v>70062.8</v>
          </cell>
          <cell r="P74">
            <v>935.19999999998254</v>
          </cell>
          <cell r="R74">
            <v>22.7</v>
          </cell>
          <cell r="AJ74">
            <v>7970.1057279999995</v>
          </cell>
        </row>
        <row r="75">
          <cell r="J75">
            <v>262943.90000000002</v>
          </cell>
          <cell r="K75">
            <v>151055.5</v>
          </cell>
          <cell r="L75">
            <v>54247.4</v>
          </cell>
          <cell r="M75">
            <v>52578.5</v>
          </cell>
          <cell r="N75">
            <v>74226.100000000006</v>
          </cell>
          <cell r="O75">
            <v>69271.5</v>
          </cell>
          <cell r="P75">
            <v>107.90000000002328</v>
          </cell>
          <cell r="R75">
            <v>23.6</v>
          </cell>
          <cell r="AJ75">
            <v>8015.9893119999997</v>
          </cell>
        </row>
        <row r="76">
          <cell r="J76">
            <v>260395.2</v>
          </cell>
          <cell r="K76">
            <v>148749.5</v>
          </cell>
          <cell r="L76">
            <v>53495.9</v>
          </cell>
          <cell r="M76">
            <v>51230.6</v>
          </cell>
          <cell r="N76">
            <v>74863</v>
          </cell>
          <cell r="O76">
            <v>67759.600000000006</v>
          </cell>
          <cell r="P76">
            <v>-184.19999999995343</v>
          </cell>
          <cell r="R76">
            <v>24.5</v>
          </cell>
          <cell r="AJ76">
            <v>7927.4392320000006</v>
          </cell>
        </row>
        <row r="77">
          <cell r="J77">
            <v>259199.2</v>
          </cell>
          <cell r="K77">
            <v>146484.4</v>
          </cell>
          <cell r="L77">
            <v>52966.8</v>
          </cell>
          <cell r="M77">
            <v>49822.3</v>
          </cell>
          <cell r="N77">
            <v>77728.800000000003</v>
          </cell>
          <cell r="O77">
            <v>67553.8</v>
          </cell>
          <cell r="P77">
            <v>-249.29999999995925</v>
          </cell>
          <cell r="R77">
            <v>25.2</v>
          </cell>
          <cell r="AJ77">
            <v>7728.2042239999992</v>
          </cell>
        </row>
        <row r="78">
          <cell r="J78">
            <v>257049.8</v>
          </cell>
          <cell r="K78">
            <v>144808.20000000001</v>
          </cell>
          <cell r="L78">
            <v>52566.400000000001</v>
          </cell>
          <cell r="M78">
            <v>49106.9</v>
          </cell>
          <cell r="N78">
            <v>77059.5</v>
          </cell>
          <cell r="O78">
            <v>66214.100000000006</v>
          </cell>
          <cell r="P78">
            <v>-277.09999999997672</v>
          </cell>
          <cell r="R78">
            <v>25.9</v>
          </cell>
          <cell r="AJ78">
            <v>7640.2419840000002</v>
          </cell>
        </row>
        <row r="79">
          <cell r="J79">
            <v>256343.7</v>
          </cell>
          <cell r="K79">
            <v>143007.6</v>
          </cell>
          <cell r="L79">
            <v>52053.3</v>
          </cell>
          <cell r="M79">
            <v>49120.2</v>
          </cell>
          <cell r="N79">
            <v>77743.7</v>
          </cell>
          <cell r="O79">
            <v>65744.600000000006</v>
          </cell>
          <cell r="P79">
            <v>163.5000000000291</v>
          </cell>
          <cell r="R79">
            <v>26.3</v>
          </cell>
          <cell r="AJ79">
            <v>7367.1101440000002</v>
          </cell>
        </row>
        <row r="80">
          <cell r="J80">
            <v>256081.3</v>
          </cell>
          <cell r="K80">
            <v>143346.70000000001</v>
          </cell>
          <cell r="L80">
            <v>52150.8</v>
          </cell>
          <cell r="M80">
            <v>48282</v>
          </cell>
          <cell r="N80">
            <v>79251.3</v>
          </cell>
          <cell r="O80">
            <v>66930.2</v>
          </cell>
          <cell r="P80">
            <v>-19.299999999988358</v>
          </cell>
          <cell r="R80">
            <v>26.2</v>
          </cell>
          <cell r="AJ80">
            <v>7238.9930879999993</v>
          </cell>
        </row>
        <row r="81">
          <cell r="J81">
            <v>255918.9</v>
          </cell>
          <cell r="K81">
            <v>143324.79999999999</v>
          </cell>
          <cell r="L81">
            <v>52057.1</v>
          </cell>
          <cell r="M81">
            <v>48839.8</v>
          </cell>
          <cell r="N81">
            <v>79964.3</v>
          </cell>
          <cell r="O81">
            <v>68209.2</v>
          </cell>
          <cell r="P81">
            <v>-57.899999999994179</v>
          </cell>
          <cell r="R81">
            <v>26.1</v>
          </cell>
          <cell r="AJ81">
            <v>7133.4384000000009</v>
          </cell>
        </row>
        <row r="82">
          <cell r="J82">
            <v>256406</v>
          </cell>
          <cell r="K82">
            <v>144451</v>
          </cell>
          <cell r="L82">
            <v>52170.7</v>
          </cell>
          <cell r="M82">
            <v>49374</v>
          </cell>
          <cell r="N82">
            <v>79954.100000000006</v>
          </cell>
          <cell r="O82">
            <v>69160</v>
          </cell>
          <cell r="P82">
            <v>-383.79999999998836</v>
          </cell>
          <cell r="R82">
            <v>25.8</v>
          </cell>
          <cell r="AJ82">
            <v>7118.838592000001</v>
          </cell>
        </row>
        <row r="83">
          <cell r="J83">
            <v>257375.5</v>
          </cell>
          <cell r="K83">
            <v>144596.5</v>
          </cell>
          <cell r="L83">
            <v>51990.9</v>
          </cell>
          <cell r="M83">
            <v>51071.9</v>
          </cell>
          <cell r="N83">
            <v>80719.899999999994</v>
          </cell>
          <cell r="O83">
            <v>70604</v>
          </cell>
          <cell r="P83">
            <v>-399.69999999998254</v>
          </cell>
          <cell r="R83">
            <v>25.3</v>
          </cell>
          <cell r="AJ83">
            <v>8106.9228160000002</v>
          </cell>
        </row>
        <row r="84">
          <cell r="J84">
            <v>258765</v>
          </cell>
          <cell r="K84">
            <v>145595.4</v>
          </cell>
          <cell r="L84">
            <v>51766.5</v>
          </cell>
          <cell r="M84">
            <v>51046.3</v>
          </cell>
          <cell r="N84">
            <v>81830.3</v>
          </cell>
          <cell r="O84">
            <v>71637.3</v>
          </cell>
          <cell r="P84">
            <v>163.80000000001746</v>
          </cell>
          <cell r="R84">
            <v>24.6</v>
          </cell>
          <cell r="AJ84">
            <v>7992.5825919999997</v>
          </cell>
        </row>
        <row r="85">
          <cell r="J85">
            <v>260834.2</v>
          </cell>
          <cell r="K85">
            <v>146498.9</v>
          </cell>
          <cell r="L85">
            <v>51762.7</v>
          </cell>
          <cell r="M85">
            <v>50881.599999999999</v>
          </cell>
          <cell r="N85">
            <v>84145.600000000006</v>
          </cell>
          <cell r="O85">
            <v>73089.399999999994</v>
          </cell>
          <cell r="P85">
            <v>634.79999999995925</v>
          </cell>
          <cell r="R85">
            <v>24.1</v>
          </cell>
          <cell r="AJ85">
            <v>7867.8322559999988</v>
          </cell>
        </row>
        <row r="86">
          <cell r="J86">
            <v>263356.5</v>
          </cell>
          <cell r="K86">
            <v>147402.4</v>
          </cell>
          <cell r="L86">
            <v>51794</v>
          </cell>
          <cell r="M86">
            <v>51163</v>
          </cell>
          <cell r="N86">
            <v>84496.5</v>
          </cell>
          <cell r="O86">
            <v>73082.2</v>
          </cell>
          <cell r="P86">
            <v>1582.8000000000175</v>
          </cell>
          <cell r="R86">
            <v>23.8</v>
          </cell>
          <cell r="AJ86">
            <v>7668.8323840000003</v>
          </cell>
        </row>
        <row r="87">
          <cell r="J87">
            <v>266562.2</v>
          </cell>
          <cell r="K87">
            <v>148734</v>
          </cell>
          <cell r="L87">
            <v>52320.3</v>
          </cell>
          <cell r="M87">
            <v>52734</v>
          </cell>
          <cell r="N87">
            <v>84956</v>
          </cell>
          <cell r="O87">
            <v>74453.600000000006</v>
          </cell>
          <cell r="P87">
            <v>2271.5000000000582</v>
          </cell>
          <cell r="R87">
            <v>23.2</v>
          </cell>
          <cell r="AJ87">
            <v>7551.2857599999998</v>
          </cell>
        </row>
        <row r="88">
          <cell r="J88">
            <v>269547</v>
          </cell>
          <cell r="K88">
            <v>149623</v>
          </cell>
          <cell r="L88">
            <v>52755.7</v>
          </cell>
          <cell r="M88">
            <v>53958.1</v>
          </cell>
          <cell r="N88">
            <v>85397.9</v>
          </cell>
          <cell r="O88">
            <v>75022.899999999994</v>
          </cell>
          <cell r="P88">
            <v>2835.2000000000116</v>
          </cell>
          <cell r="R88">
            <v>22.5</v>
          </cell>
          <cell r="AJ88">
            <v>7597.9281919999994</v>
          </cell>
        </row>
        <row r="89">
          <cell r="J89">
            <v>272019.3</v>
          </cell>
          <cell r="K89">
            <v>151412.70000000001</v>
          </cell>
          <cell r="L89">
            <v>52986.6</v>
          </cell>
          <cell r="M89">
            <v>54000.1</v>
          </cell>
          <cell r="N89">
            <v>87295.4</v>
          </cell>
          <cell r="O89">
            <v>77046</v>
          </cell>
          <cell r="P89">
            <v>3370.4999999999709</v>
          </cell>
          <cell r="R89">
            <v>21.6</v>
          </cell>
          <cell r="AJ89">
            <v>7673.4389119999996</v>
          </cell>
        </row>
        <row r="90">
          <cell r="J90">
            <v>274449.09999999998</v>
          </cell>
          <cell r="K90">
            <v>151820.79999999999</v>
          </cell>
          <cell r="L90">
            <v>53248.800000000003</v>
          </cell>
          <cell r="M90">
            <v>54346</v>
          </cell>
          <cell r="N90">
            <v>87955.5</v>
          </cell>
          <cell r="O90">
            <v>76575.600000000006</v>
          </cell>
          <cell r="P90">
            <v>3653.5999999999767</v>
          </cell>
          <cell r="R90">
            <v>21</v>
          </cell>
          <cell r="AJ90">
            <v>7737.8447999999999</v>
          </cell>
        </row>
        <row r="91">
          <cell r="J91">
            <v>276354.90000000002</v>
          </cell>
          <cell r="K91">
            <v>152578</v>
          </cell>
          <cell r="L91">
            <v>53315.1</v>
          </cell>
          <cell r="M91">
            <v>54479</v>
          </cell>
          <cell r="N91">
            <v>88947.9</v>
          </cell>
          <cell r="O91">
            <v>76361.7</v>
          </cell>
          <cell r="P91">
            <v>3396.600000000064</v>
          </cell>
          <cell r="R91">
            <v>20.399999999999999</v>
          </cell>
          <cell r="AJ91">
            <v>8032.5663999999997</v>
          </cell>
        </row>
        <row r="92">
          <cell r="J92">
            <v>277269.59999999998</v>
          </cell>
          <cell r="K92">
            <v>154131.4</v>
          </cell>
          <cell r="L92">
            <v>53265.9</v>
          </cell>
          <cell r="M92">
            <v>54726.7</v>
          </cell>
          <cell r="N92">
            <v>90568.8</v>
          </cell>
          <cell r="O92">
            <v>78150.100000000006</v>
          </cell>
          <cell r="P92">
            <v>2726.8999999999651</v>
          </cell>
          <cell r="R92">
            <v>20.100000000000001</v>
          </cell>
          <cell r="AJ92">
            <v>8164.8090240000001</v>
          </cell>
        </row>
        <row r="93">
          <cell r="J93">
            <v>279461.5</v>
          </cell>
          <cell r="K93">
            <v>155202.1</v>
          </cell>
          <cell r="L93">
            <v>53230.8</v>
          </cell>
          <cell r="M93">
            <v>54535.3</v>
          </cell>
          <cell r="N93">
            <v>91427.5</v>
          </cell>
          <cell r="O93">
            <v>77500.100000000006</v>
          </cell>
          <cell r="P93">
            <v>2565.8999999999942</v>
          </cell>
          <cell r="R93">
            <v>19.3</v>
          </cell>
          <cell r="AJ93">
            <v>8362.0988160000015</v>
          </cell>
        </row>
        <row r="94">
          <cell r="J94">
            <v>281049.3</v>
          </cell>
          <cell r="K94">
            <v>155664.79999999999</v>
          </cell>
          <cell r="L94">
            <v>53360.5</v>
          </cell>
          <cell r="M94">
            <v>55669.3</v>
          </cell>
          <cell r="N94">
            <v>93297.2</v>
          </cell>
          <cell r="O94">
            <v>79106.3</v>
          </cell>
          <cell r="P94">
            <v>2163.7999999999884</v>
          </cell>
          <cell r="R94">
            <v>18.7</v>
          </cell>
          <cell r="AJ94">
            <v>8696.6439040000005</v>
          </cell>
        </row>
        <row r="95">
          <cell r="J95">
            <v>283039.2</v>
          </cell>
          <cell r="K95">
            <v>157256.4</v>
          </cell>
          <cell r="L95">
            <v>53593.4</v>
          </cell>
          <cell r="M95">
            <v>57140.1</v>
          </cell>
          <cell r="N95">
            <v>94671.2</v>
          </cell>
          <cell r="O95">
            <v>81342.5</v>
          </cell>
          <cell r="P95">
            <v>1720.6000000000058</v>
          </cell>
          <cell r="R95">
            <v>18.2</v>
          </cell>
          <cell r="AJ95">
            <v>8964.3248640000002</v>
          </cell>
        </row>
        <row r="96">
          <cell r="J96">
            <v>285999.5</v>
          </cell>
          <cell r="K96">
            <v>158593.5</v>
          </cell>
          <cell r="L96">
            <v>53624.6</v>
          </cell>
          <cell r="M96">
            <v>57602.7</v>
          </cell>
          <cell r="N96">
            <v>95654.3</v>
          </cell>
          <cell r="O96">
            <v>81432.3</v>
          </cell>
          <cell r="P96">
            <v>1956.6999999999825</v>
          </cell>
          <cell r="R96">
            <v>17.399999999999999</v>
          </cell>
          <cell r="AJ96">
            <v>9384.7159680000004</v>
          </cell>
        </row>
        <row r="97">
          <cell r="J97">
            <v>287805.3</v>
          </cell>
          <cell r="K97">
            <v>159809.60000000001</v>
          </cell>
          <cell r="L97">
            <v>54006.1</v>
          </cell>
          <cell r="M97">
            <v>59153.2</v>
          </cell>
          <cell r="N97">
            <v>96547.4</v>
          </cell>
          <cell r="O97">
            <v>83614</v>
          </cell>
          <cell r="P97">
            <v>1903</v>
          </cell>
          <cell r="R97">
            <v>16.7</v>
          </cell>
          <cell r="AJ97">
            <v>9688.6933759999993</v>
          </cell>
        </row>
        <row r="98">
          <cell r="J98">
            <v>289558.3</v>
          </cell>
          <cell r="K98">
            <v>160914</v>
          </cell>
          <cell r="L98">
            <v>53982.400000000001</v>
          </cell>
          <cell r="M98">
            <v>60325.1</v>
          </cell>
          <cell r="N98">
            <v>97792.3</v>
          </cell>
          <cell r="O98">
            <v>85562.9</v>
          </cell>
          <cell r="P98">
            <v>2107.3999999999651</v>
          </cell>
          <cell r="R98">
            <v>16.7</v>
          </cell>
          <cell r="AJ98">
            <v>10116.758463999999</v>
          </cell>
        </row>
        <row r="99">
          <cell r="J99">
            <v>290795.8</v>
          </cell>
          <cell r="K99">
            <v>161381.20000000001</v>
          </cell>
          <cell r="L99">
            <v>54365.7</v>
          </cell>
          <cell r="M99">
            <v>60334.3</v>
          </cell>
          <cell r="N99">
            <v>97912</v>
          </cell>
          <cell r="O99">
            <v>85917.3</v>
          </cell>
          <cell r="P99">
            <v>2719.8999999999651</v>
          </cell>
          <cell r="R99">
            <v>16.2</v>
          </cell>
          <cell r="AJ99">
            <v>10664.144383999999</v>
          </cell>
        </row>
        <row r="100">
          <cell r="J100">
            <v>292692.2</v>
          </cell>
          <cell r="K100">
            <v>162038.39999999999</v>
          </cell>
          <cell r="L100">
            <v>54721.599999999999</v>
          </cell>
          <cell r="M100">
            <v>62747.6</v>
          </cell>
          <cell r="N100">
            <v>97365.2</v>
          </cell>
          <cell r="O100">
            <v>86809.2</v>
          </cell>
          <cell r="P100">
            <v>2628.6000000000058</v>
          </cell>
          <cell r="R100">
            <v>15.5</v>
          </cell>
          <cell r="AJ100">
            <v>10748.526144000001</v>
          </cell>
        </row>
        <row r="101">
          <cell r="J101">
            <v>294326.2</v>
          </cell>
          <cell r="K101">
            <v>162000.20000000001</v>
          </cell>
          <cell r="L101">
            <v>55136.2</v>
          </cell>
          <cell r="M101">
            <v>63066.9</v>
          </cell>
          <cell r="N101">
            <v>97328.1</v>
          </cell>
          <cell r="O101">
            <v>86015.2</v>
          </cell>
          <cell r="P101">
            <v>2810.0000000000582</v>
          </cell>
          <cell r="R101">
            <v>14.8</v>
          </cell>
          <cell r="AJ101">
            <v>11111.650944000001</v>
          </cell>
        </row>
        <row r="102">
          <cell r="J102">
            <v>296049</v>
          </cell>
          <cell r="K102">
            <v>162191.1</v>
          </cell>
          <cell r="L102">
            <v>55507.3</v>
          </cell>
          <cell r="M102">
            <v>63269.599999999999</v>
          </cell>
          <cell r="N102">
            <v>98450.5</v>
          </cell>
          <cell r="O102">
            <v>86115.8</v>
          </cell>
          <cell r="P102">
            <v>2746.2999999999593</v>
          </cell>
          <cell r="R102">
            <v>14.6</v>
          </cell>
          <cell r="AJ102">
            <v>11172.519103999999</v>
          </cell>
        </row>
        <row r="103">
          <cell r="J103">
            <v>297864.3</v>
          </cell>
          <cell r="K103">
            <v>162052</v>
          </cell>
          <cell r="L103">
            <v>55827.199999999997</v>
          </cell>
          <cell r="M103">
            <v>65099.5</v>
          </cell>
          <cell r="N103">
            <v>100069.5</v>
          </cell>
          <cell r="O103">
            <v>87034</v>
          </cell>
          <cell r="P103">
            <v>1850.0999999999767</v>
          </cell>
          <cell r="R103">
            <v>14.2</v>
          </cell>
          <cell r="AJ103">
            <v>11436.138623999999</v>
          </cell>
        </row>
        <row r="104">
          <cell r="J104">
            <v>298723.3</v>
          </cell>
          <cell r="K104">
            <v>160705</v>
          </cell>
          <cell r="L104">
            <v>56042.1</v>
          </cell>
          <cell r="M104">
            <v>65133.3</v>
          </cell>
          <cell r="N104">
            <v>102296.6</v>
          </cell>
          <cell r="O104">
            <v>87050.3</v>
          </cell>
          <cell r="P104">
            <v>1596.6000000000058</v>
          </cell>
          <cell r="R104">
            <v>14.2</v>
          </cell>
          <cell r="AJ104">
            <v>11655.37088</v>
          </cell>
        </row>
        <row r="105">
          <cell r="J105">
            <v>299295.3</v>
          </cell>
          <cell r="K105">
            <v>166359.6</v>
          </cell>
          <cell r="L105">
            <v>56221.9</v>
          </cell>
          <cell r="M105">
            <v>65774</v>
          </cell>
          <cell r="N105">
            <v>98859</v>
          </cell>
          <cell r="O105">
            <v>88956.6</v>
          </cell>
          <cell r="P105">
            <v>1037.4000000000233</v>
          </cell>
          <cell r="R105">
            <v>14.1</v>
          </cell>
          <cell r="AJ105">
            <v>11721.818175999999</v>
          </cell>
        </row>
        <row r="106">
          <cell r="J106">
            <v>301003</v>
          </cell>
          <cell r="K106">
            <v>165887.79999999999</v>
          </cell>
          <cell r="L106">
            <v>56447.199999999997</v>
          </cell>
          <cell r="M106">
            <v>65611.3</v>
          </cell>
          <cell r="N106">
            <v>98686.3</v>
          </cell>
          <cell r="O106">
            <v>86363.3</v>
          </cell>
          <cell r="P106">
            <v>733.70000000001164</v>
          </cell>
          <cell r="R106">
            <v>13.9</v>
          </cell>
          <cell r="AJ106">
            <v>11943.78656</v>
          </cell>
        </row>
        <row r="107">
          <cell r="J107">
            <v>285418.90000000002</v>
          </cell>
          <cell r="K107">
            <v>156102.9</v>
          </cell>
          <cell r="L107">
            <v>57029.3</v>
          </cell>
          <cell r="M107">
            <v>64267.5</v>
          </cell>
          <cell r="N107">
            <v>91383</v>
          </cell>
          <cell r="O107">
            <v>82552.600000000006</v>
          </cell>
          <cell r="P107">
            <v>-811.19999999998254</v>
          </cell>
          <cell r="R107">
            <v>14</v>
          </cell>
          <cell r="AJ107">
            <v>11615.61152</v>
          </cell>
        </row>
        <row r="108">
          <cell r="J108">
            <v>234641.8</v>
          </cell>
          <cell r="K108">
            <v>122578</v>
          </cell>
          <cell r="L108">
            <v>57557.5</v>
          </cell>
          <cell r="M108">
            <v>51533.5</v>
          </cell>
          <cell r="N108">
            <v>63150.9</v>
          </cell>
          <cell r="O108">
            <v>59221</v>
          </cell>
          <cell r="P108">
            <v>-957.10000000000582</v>
          </cell>
          <cell r="R108">
            <v>15.6</v>
          </cell>
          <cell r="AJ108">
            <v>9427.403839999999</v>
          </cell>
        </row>
        <row r="109">
          <cell r="J109">
            <v>271955.09999999998</v>
          </cell>
          <cell r="K109">
            <v>148031.4</v>
          </cell>
          <cell r="L109">
            <v>58398</v>
          </cell>
          <cell r="M109">
            <v>61142.8</v>
          </cell>
          <cell r="N109">
            <v>80548.2</v>
          </cell>
          <cell r="O109">
            <v>75095.399999999994</v>
          </cell>
          <cell r="P109">
            <v>-1069.8999999999942</v>
          </cell>
          <cell r="R109">
            <v>16.399999999999999</v>
          </cell>
          <cell r="AJ109">
            <v>10928.490688</v>
          </cell>
        </row>
        <row r="110">
          <cell r="J110">
            <v>273928.90000000002</v>
          </cell>
          <cell r="K110">
            <v>149223.9</v>
          </cell>
          <cell r="L110">
            <v>59442.1</v>
          </cell>
          <cell r="M110">
            <v>61316.800000000003</v>
          </cell>
          <cell r="N110">
            <v>84452.800000000003</v>
          </cell>
          <cell r="O110">
            <v>79605.8</v>
          </cell>
          <cell r="P110">
            <v>-900.89999999996508</v>
          </cell>
          <cell r="R110">
            <v>16.2</v>
          </cell>
          <cell r="AJ110">
            <v>10780.493951999999</v>
          </cell>
        </row>
        <row r="111">
          <cell r="J111">
            <v>277220.59999999998</v>
          </cell>
          <cell r="K111">
            <v>149210.29999999999</v>
          </cell>
          <cell r="L111">
            <v>59913.4</v>
          </cell>
          <cell r="M111">
            <v>60919.7</v>
          </cell>
          <cell r="N111">
            <v>85922.4</v>
          </cell>
          <cell r="O111">
            <v>80786</v>
          </cell>
          <cell r="P111">
            <v>2040.7999999999593</v>
          </cell>
          <cell r="R111">
            <v>15.7</v>
          </cell>
          <cell r="AJ111">
            <v>10705.731391999998</v>
          </cell>
        </row>
        <row r="112">
          <cell r="J112">
            <v>281021</v>
          </cell>
          <cell r="K112">
            <v>153437</v>
          </cell>
          <cell r="L112">
            <v>60286.400000000001</v>
          </cell>
          <cell r="M112">
            <v>60682.3</v>
          </cell>
          <cell r="N112">
            <v>88195.9</v>
          </cell>
          <cell r="O112">
            <v>83904.1</v>
          </cell>
          <cell r="P112">
            <v>2323.4999999999709</v>
          </cell>
          <cell r="R112">
            <v>15.7</v>
          </cell>
          <cell r="AJ112">
            <v>10661.06624</v>
          </cell>
        </row>
        <row r="113">
          <cell r="J113">
            <v>286560.2</v>
          </cell>
          <cell r="K113">
            <v>155875.70000000001</v>
          </cell>
          <cell r="L113">
            <v>60470</v>
          </cell>
          <cell r="M113">
            <v>61076.3</v>
          </cell>
          <cell r="N113">
            <v>92290.9</v>
          </cell>
          <cell r="O113">
            <v>86057.8</v>
          </cell>
          <cell r="P113">
            <v>2905.0999999999767</v>
          </cell>
          <cell r="R113">
            <v>14.9</v>
          </cell>
          <cell r="AJ113">
            <v>10695.225087999999</v>
          </cell>
        </row>
        <row r="114">
          <cell r="J114">
            <v>292381.7</v>
          </cell>
          <cell r="K114">
            <v>158334.39999999999</v>
          </cell>
          <cell r="L114">
            <v>60187</v>
          </cell>
          <cell r="M114">
            <v>61861.3</v>
          </cell>
          <cell r="N114">
            <v>95903.1</v>
          </cell>
          <cell r="O114">
            <v>90142.2</v>
          </cell>
          <cell r="P114">
            <v>6238.100000000064</v>
          </cell>
          <cell r="R114">
            <v>13.6</v>
          </cell>
          <cell r="AJ114">
            <v>11042.713344</v>
          </cell>
        </row>
        <row r="115">
          <cell r="J115">
            <v>296308.59999999998</v>
          </cell>
          <cell r="K115">
            <v>160153.20000000001</v>
          </cell>
          <cell r="L115">
            <v>60272.2</v>
          </cell>
          <cell r="M115">
            <v>63216.4</v>
          </cell>
          <cell r="N115">
            <v>98293.6</v>
          </cell>
          <cell r="O115">
            <v>90615.3</v>
          </cell>
          <cell r="P115">
            <v>4988.4999999999418</v>
          </cell>
          <cell r="R115">
            <v>13.3</v>
          </cell>
          <cell r="AJ115">
            <v>11422.404544000001</v>
          </cell>
        </row>
        <row r="116">
          <cell r="J116">
            <v>301419.2</v>
          </cell>
          <cell r="K116">
            <v>162484.70000000001</v>
          </cell>
          <cell r="L116">
            <v>59804.6</v>
          </cell>
          <cell r="M116">
            <v>63342.3</v>
          </cell>
          <cell r="N116">
            <v>104754.9</v>
          </cell>
          <cell r="O116">
            <v>94041.7</v>
          </cell>
          <cell r="P116">
            <v>5074.3999999999942</v>
          </cell>
          <cell r="R116">
            <v>13</v>
          </cell>
          <cell r="AJ116">
            <v>11689.09152</v>
          </cell>
        </row>
        <row r="117">
          <cell r="J117">
            <v>303994.40000000002</v>
          </cell>
          <cell r="K117">
            <v>163202.79999999999</v>
          </cell>
          <cell r="L117">
            <v>60489.9</v>
          </cell>
          <cell r="M117">
            <v>63944</v>
          </cell>
          <cell r="N117">
            <v>105086.3</v>
          </cell>
          <cell r="O117">
            <v>92450</v>
          </cell>
          <cell r="P117">
            <v>3721.4000000000524</v>
          </cell>
          <cell r="R117">
            <v>12.8</v>
          </cell>
          <cell r="AJ117">
            <v>11851.346048000001</v>
          </cell>
        </row>
        <row r="118">
          <cell r="J118">
            <v>305730.40000000002</v>
          </cell>
          <cell r="K118">
            <v>160926.70000000001</v>
          </cell>
          <cell r="L118">
            <v>61659.8</v>
          </cell>
          <cell r="M118">
            <v>61991.3</v>
          </cell>
          <cell r="N118">
            <v>106035.1</v>
          </cell>
          <cell r="O118">
            <v>90179.3</v>
          </cell>
          <cell r="P118">
            <v>5296.7999999999884</v>
          </cell>
          <cell r="R118">
            <v>13.1</v>
          </cell>
          <cell r="AJ118">
            <v>11756.233536</v>
          </cell>
        </row>
        <row r="119">
          <cell r="J119">
            <v>307785.40000000002</v>
          </cell>
          <cell r="K119">
            <v>162830.1</v>
          </cell>
          <cell r="L119">
            <v>62313.9</v>
          </cell>
          <cell r="M119">
            <v>64426.1</v>
          </cell>
          <cell r="N119">
            <v>107138</v>
          </cell>
          <cell r="O119">
            <v>92218.8</v>
          </cell>
          <cell r="P119">
            <v>3296.1000000000058</v>
          </cell>
          <cell r="R119">
            <v>12.9</v>
          </cell>
          <cell r="AJ119">
            <v>11850.437567999999</v>
          </cell>
        </row>
        <row r="120">
          <cell r="J120">
            <v>308542.40000000002</v>
          </cell>
          <cell r="K120">
            <v>164115.29999999999</v>
          </cell>
          <cell r="L120">
            <v>63410</v>
          </cell>
          <cell r="M120">
            <v>64431.199999999997</v>
          </cell>
          <cell r="N120">
            <v>106673.8</v>
          </cell>
          <cell r="O120">
            <v>92595.9</v>
          </cell>
          <cell r="P120">
            <v>2508.0000000000582</v>
          </cell>
          <cell r="R120">
            <v>12</v>
          </cell>
          <cell r="AJ120">
            <v>11880.759424</v>
          </cell>
        </row>
        <row r="121">
          <cell r="J121">
            <v>310574.8</v>
          </cell>
          <cell r="K121">
            <v>165434.20000000001</v>
          </cell>
          <cell r="L121">
            <v>64383</v>
          </cell>
          <cell r="M121">
            <v>64133.4</v>
          </cell>
          <cell r="N121">
            <v>105103</v>
          </cell>
          <cell r="O121">
            <v>91262.5</v>
          </cell>
          <cell r="P121">
            <v>2783.6999999999825</v>
          </cell>
          <cell r="R121">
            <v>12</v>
          </cell>
          <cell r="AJ121">
            <v>11917.248255999999</v>
          </cell>
        </row>
        <row r="122">
          <cell r="J122">
            <v>312857.3</v>
          </cell>
          <cell r="K122">
            <v>165728.70000000001</v>
          </cell>
          <cell r="L122">
            <v>64772.1</v>
          </cell>
          <cell r="M122">
            <v>64897.9</v>
          </cell>
          <cell r="N122">
            <v>106771.3</v>
          </cell>
          <cell r="O122">
            <v>92246</v>
          </cell>
          <cell r="P122">
            <v>2933.2999999999884</v>
          </cell>
          <cell r="R122">
            <v>11.9</v>
          </cell>
          <cell r="AJ122">
            <v>12067.71392</v>
          </cell>
        </row>
        <row r="123">
          <cell r="J123">
            <v>315610.90000000002</v>
          </cell>
          <cell r="K123">
            <v>166516.79999999999</v>
          </cell>
          <cell r="L123">
            <v>65493.3</v>
          </cell>
          <cell r="M123">
            <v>65620.5</v>
          </cell>
          <cell r="N123">
            <v>108699.5</v>
          </cell>
          <cell r="O123">
            <v>92893.2</v>
          </cell>
          <cell r="P123">
            <v>2174.0000000000582</v>
          </cell>
          <cell r="R123">
            <v>11.8</v>
          </cell>
          <cell r="AJ123">
            <v>12001.619328000001</v>
          </cell>
        </row>
        <row r="124">
          <cell r="J124">
            <v>318136</v>
          </cell>
          <cell r="K124">
            <v>168222.9</v>
          </cell>
          <cell r="L124">
            <v>65919.3</v>
          </cell>
          <cell r="M124">
            <v>65861</v>
          </cell>
          <cell r="N124">
            <v>109418.9</v>
          </cell>
          <cell r="O124">
            <v>93438</v>
          </cell>
          <cell r="P124">
            <v>2151.8999999999942</v>
          </cell>
          <cell r="R124">
            <v>11.6</v>
          </cell>
          <cell r="AJ124">
            <v>12055.615104</v>
          </cell>
        </row>
        <row r="125">
          <cell r="J125">
            <v>320252.09821300488</v>
          </cell>
          <cell r="K125">
            <v>169259.458731238</v>
          </cell>
          <cell r="L125">
            <v>66578.493000000002</v>
          </cell>
          <cell r="M125">
            <v>66344.57074222833</v>
          </cell>
          <cell r="N125">
            <v>110122.50807377376</v>
          </cell>
          <cell r="O125">
            <v>94138.785000000003</v>
          </cell>
          <cell r="P125">
            <v>2085.8526657648326</v>
          </cell>
          <cell r="R125">
            <v>11.22947908461253</v>
          </cell>
        </row>
        <row r="126">
          <cell r="J126">
            <v>322214.07892595622</v>
          </cell>
          <cell r="K126">
            <v>170193.23561161969</v>
          </cell>
          <cell r="L126">
            <v>67244.277929999997</v>
          </cell>
          <cell r="M126">
            <v>66831.793464105634</v>
          </cell>
          <cell r="N126">
            <v>110830.66745870658</v>
          </cell>
          <cell r="O126">
            <v>94891.895279999997</v>
          </cell>
          <cell r="P126">
            <v>2005.9997415243124</v>
          </cell>
          <cell r="R126">
            <v>11.229479084612537</v>
          </cell>
        </row>
        <row r="127">
          <cell r="J127">
            <v>323915.86583371856</v>
          </cell>
          <cell r="K127">
            <v>171173.90945102336</v>
          </cell>
          <cell r="L127">
            <v>67714.987875509993</v>
          </cell>
          <cell r="M127">
            <v>67322.696298537659</v>
          </cell>
          <cell r="N127">
            <v>111417.25904907826</v>
          </cell>
          <cell r="O127">
            <v>95651.030442239993</v>
          </cell>
          <cell r="P127">
            <v>1938.0436018092732</v>
          </cell>
          <cell r="R127">
            <v>11.229479084612535</v>
          </cell>
        </row>
        <row r="128">
          <cell r="J128">
            <v>325424.10693129036</v>
          </cell>
          <cell r="K128">
            <v>171955.81542830847</v>
          </cell>
          <cell r="L128">
            <v>68188.992790638556</v>
          </cell>
          <cell r="M128">
            <v>67966.609747624883</v>
          </cell>
          <cell r="N128">
            <v>112007.19988825517</v>
          </cell>
          <cell r="O128">
            <v>96511.889716220147</v>
          </cell>
          <cell r="P128">
            <v>1817.3787926834193</v>
          </cell>
          <cell r="R128">
            <v>11.229479084612544</v>
          </cell>
        </row>
        <row r="129">
          <cell r="J129">
            <v>326875.54826974712</v>
          </cell>
          <cell r="K129">
            <v>172779.35420604175</v>
          </cell>
          <cell r="L129">
            <v>68666.315740173013</v>
          </cell>
          <cell r="M129">
            <v>68616.727823091787</v>
          </cell>
          <cell r="N129">
            <v>112600.51039340967</v>
          </cell>
          <cell r="O129">
            <v>97477.00861338235</v>
          </cell>
          <cell r="P129">
            <v>1689.6487204132136</v>
          </cell>
          <cell r="R129">
            <v>11.096456325998073</v>
          </cell>
        </row>
        <row r="130">
          <cell r="J130">
            <v>328331.6555087064</v>
          </cell>
          <cell r="K130">
            <v>173605.97518241586</v>
          </cell>
          <cell r="L130">
            <v>69146.979950354216</v>
          </cell>
          <cell r="M130">
            <v>69273.110695137293</v>
          </cell>
          <cell r="N130">
            <v>113197.211112524</v>
          </cell>
          <cell r="O130">
            <v>98451.778699516173</v>
          </cell>
          <cell r="P130">
            <v>1560.1572677911608</v>
          </cell>
          <cell r="R130">
            <v>10.963234232580486</v>
          </cell>
        </row>
      </sheetData>
      <sheetData sheetId="2">
        <row r="19">
          <cell r="D19">
            <v>1.9</v>
          </cell>
          <cell r="K19">
            <v>-0.15500000000000003</v>
          </cell>
          <cell r="L19">
            <v>35.799999999999997</v>
          </cell>
        </row>
        <row r="20">
          <cell r="D20">
            <v>-4.5999999999999996</v>
          </cell>
          <cell r="K20">
            <v>0.31230000000000024</v>
          </cell>
          <cell r="L20">
            <v>39.700000000000003</v>
          </cell>
        </row>
        <row r="21">
          <cell r="D21">
            <v>-11.3</v>
          </cell>
          <cell r="K21">
            <v>0.22439999999999993</v>
          </cell>
          <cell r="L21">
            <v>53.3</v>
          </cell>
        </row>
        <row r="22">
          <cell r="D22">
            <v>-9.5</v>
          </cell>
          <cell r="K22">
            <v>-0.39739999999999998</v>
          </cell>
          <cell r="L22">
            <v>60.5</v>
          </cell>
        </row>
        <row r="23">
          <cell r="D23">
            <v>-9.6999999999999993</v>
          </cell>
          <cell r="K23">
            <v>0.47019999999999995</v>
          </cell>
          <cell r="L23">
            <v>69.900000000000006</v>
          </cell>
        </row>
        <row r="24">
          <cell r="D24">
            <v>-11.6</v>
          </cell>
          <cell r="K24">
            <v>1.4954000000000001</v>
          </cell>
          <cell r="L24">
            <v>90</v>
          </cell>
        </row>
        <row r="25">
          <cell r="D25">
            <v>-7.5</v>
          </cell>
          <cell r="K25">
            <v>6.3008999999999995</v>
          </cell>
          <cell r="L25">
            <v>100.5</v>
          </cell>
        </row>
        <row r="26">
          <cell r="D26">
            <v>-6.1</v>
          </cell>
          <cell r="K26">
            <v>3.7465000000000011</v>
          </cell>
          <cell r="L26">
            <v>105.1</v>
          </cell>
        </row>
        <row r="27">
          <cell r="D27">
            <v>-5.3</v>
          </cell>
          <cell r="K27">
            <v>-2.1077000000000004</v>
          </cell>
          <cell r="L27">
            <v>103.3</v>
          </cell>
        </row>
        <row r="28">
          <cell r="D28">
            <v>-4.3</v>
          </cell>
          <cell r="K28">
            <v>-1.0481000000000007</v>
          </cell>
          <cell r="L28">
            <v>102.7</v>
          </cell>
        </row>
        <row r="29">
          <cell r="D29">
            <v>-3.1</v>
          </cell>
          <cell r="K29">
            <v>-0.64429999999999943</v>
          </cell>
          <cell r="L29">
            <v>101.8</v>
          </cell>
        </row>
        <row r="30">
          <cell r="D30">
            <v>-2.6</v>
          </cell>
          <cell r="K30">
            <v>-5.5877999999999997</v>
          </cell>
          <cell r="L30">
            <v>100.4</v>
          </cell>
        </row>
        <row r="31">
          <cell r="D31">
            <v>-3.1</v>
          </cell>
          <cell r="K31">
            <v>-0.85850000000000004</v>
          </cell>
          <cell r="L31">
            <v>98.2</v>
          </cell>
        </row>
        <row r="32">
          <cell r="D32">
            <v>-10.1</v>
          </cell>
          <cell r="K32">
            <v>1.4627999999999999</v>
          </cell>
          <cell r="L32">
            <v>120.3</v>
          </cell>
        </row>
        <row r="33">
          <cell r="D33">
            <v>-6.7</v>
          </cell>
          <cell r="K33">
            <v>0.54410000000000003</v>
          </cell>
          <cell r="L33">
            <v>116.8</v>
          </cell>
        </row>
        <row r="34">
          <cell r="D34">
            <v>-4.5940352162046665</v>
          </cell>
          <cell r="K34">
            <v>0.24209999999999998</v>
          </cell>
          <cell r="L34">
            <v>111.6</v>
          </cell>
        </row>
        <row r="35">
          <cell r="D35">
            <v>-3.515194310442868</v>
          </cell>
          <cell r="K35">
            <v>-0.8</v>
          </cell>
          <cell r="L35">
            <v>107.7</v>
          </cell>
        </row>
        <row r="36">
          <cell r="D36">
            <v>-2.9847909218526296</v>
          </cell>
          <cell r="K36">
            <v>0.1</v>
          </cell>
          <cell r="L36">
            <v>105.93275713037333</v>
          </cell>
        </row>
        <row r="37">
          <cell r="D37">
            <v>-2.5247009274624235</v>
          </cell>
          <cell r="K37">
            <v>0</v>
          </cell>
          <cell r="L37">
            <v>104.7200977069709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TE SIMPL 0321"/>
      <sheetName val="COMPTE SIMPL fin 2022=2019"/>
      <sheetName val="REVENUS 0321"/>
      <sheetName val="COMPTE SIMPL 0921"/>
      <sheetName val="REVENUS 0921"/>
      <sheetName val="COMPTE SIMPL 0322"/>
      <sheetName val="REVENUS 0922"/>
      <sheetName val="COMPTE SIMPL 0922"/>
      <sheetName val="REVENUS 0323"/>
      <sheetName val="COMPTE SIMPL 0323"/>
      <sheetName val="COMPTE SIMPL 0923"/>
      <sheetName val="conso produits"/>
      <sheetName val="RDB composantes"/>
      <sheetName val="tx épargne"/>
      <sheetName val="Graphique1"/>
      <sheetName val="COMPTE SIMPL 0324"/>
      <sheetName val="COMPTE SIMPL"/>
      <sheetName val="PRIX 0921"/>
      <sheetName val="COMPTE SIMPL (2)"/>
      <sheetName val="rev ppté"/>
      <sheetName val="transferts"/>
      <sheetName val="tx cho-tx transf"/>
      <sheetName val="Graphique3"/>
      <sheetName val="Graphique3 (2)"/>
      <sheetName val="pop act"/>
      <sheetName val="REVENUS 0923"/>
      <sheetName val="tx n tx cho"/>
      <sheetName val="REVENUS 0324"/>
      <sheetName val="REVENUS"/>
      <sheetName val="dl"/>
      <sheetName val="Graphique22"/>
      <sheetName val="pdte niveau"/>
      <sheetName val="PRIX 0321"/>
      <sheetName val="COMPTE SIMPL_V0"/>
      <sheetName val="tx cho tx act"/>
      <sheetName val="pdtes niveau"/>
      <sheetName val="sal pdtt"/>
      <sheetName val="part va valeur"/>
      <sheetName val="cs horaire reel"/>
      <sheetName val="salaires niveau"/>
      <sheetName val="salaires (2)"/>
      <sheetName val="salaires"/>
      <sheetName val="Graphique23"/>
      <sheetName val="sal cho"/>
      <sheetName val="Graphique4"/>
      <sheetName val="PRIX 0922"/>
      <sheetName val="PRIX 0323"/>
      <sheetName val="def conso ipch"/>
      <sheetName val="Graphique31"/>
      <sheetName val="PRIX 0923"/>
      <sheetName val="PRIX"/>
      <sheetName val="PRIX (2)"/>
      <sheetName val="ipch energie"/>
      <sheetName val="ipch compo"/>
      <sheetName val="ipch glt"/>
      <sheetName val="PRIX 0320"/>
      <sheetName val="prix énergie"/>
      <sheetName val="Graphique21"/>
      <sheetName val="Graphique33"/>
      <sheetName val="prix va"/>
      <sheetName val="def conso"/>
      <sheetName val="Graphique6"/>
      <sheetName val="COMPTE MEN COMPLET"/>
      <sheetName val="fbcf logt 2"/>
      <sheetName val="fbcf lgt"/>
      <sheetName val="feuille annualis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5"/>
      <sheetData sheetId="16">
        <row r="39">
          <cell r="E39">
            <v>123.464</v>
          </cell>
          <cell r="U39">
            <v>163.48947999999999</v>
          </cell>
          <cell r="AY39">
            <v>8.7965782263176688</v>
          </cell>
        </row>
        <row r="40">
          <cell r="E40">
            <v>125.931</v>
          </cell>
          <cell r="U40">
            <v>163.54522</v>
          </cell>
          <cell r="AY40">
            <v>7.2647919639596035</v>
          </cell>
        </row>
        <row r="41">
          <cell r="E41">
            <v>128.20599999999999</v>
          </cell>
          <cell r="U41">
            <v>162.11698999999999</v>
          </cell>
          <cell r="AY41">
            <v>5.3004870124963501</v>
          </cell>
        </row>
        <row r="42">
          <cell r="E42">
            <v>130.82300000000001</v>
          </cell>
          <cell r="U42">
            <v>171.58530999999999</v>
          </cell>
          <cell r="AY42">
            <v>8.3231542373878309</v>
          </cell>
        </row>
        <row r="43">
          <cell r="E43">
            <v>135.34899999999999</v>
          </cell>
          <cell r="U43">
            <v>171.71292999999994</v>
          </cell>
          <cell r="AY43">
            <v>7.4018479563536577</v>
          </cell>
        </row>
        <row r="44">
          <cell r="E44">
            <v>136.316</v>
          </cell>
          <cell r="U44">
            <v>171.16095000000001</v>
          </cell>
          <cell r="AY44">
            <v>7.3830800775527523</v>
          </cell>
        </row>
        <row r="45">
          <cell r="E45">
            <v>137.19999999999999</v>
          </cell>
          <cell r="U45">
            <v>175.00446000000002</v>
          </cell>
          <cell r="AY45">
            <v>10.169717960330857</v>
          </cell>
        </row>
        <row r="46">
          <cell r="E46">
            <v>135.261</v>
          </cell>
          <cell r="U46">
            <v>177.60065</v>
          </cell>
          <cell r="AY46">
            <v>13.032975949130803</v>
          </cell>
        </row>
        <row r="47">
          <cell r="E47">
            <v>133.51499999999999</v>
          </cell>
          <cell r="U47">
            <v>170.59200999999999</v>
          </cell>
          <cell r="AY47">
            <v>11.369823240842289</v>
          </cell>
        </row>
        <row r="48">
          <cell r="E48">
            <v>132.20699999999999</v>
          </cell>
          <cell r="U48">
            <v>173.79144000000002</v>
          </cell>
          <cell r="AY48">
            <v>14.170686427363739</v>
          </cell>
        </row>
        <row r="49">
          <cell r="E49">
            <v>132.209</v>
          </cell>
          <cell r="U49">
            <v>174.15063000000001</v>
          </cell>
          <cell r="AY49">
            <v>14.036486689712252</v>
          </cell>
        </row>
        <row r="50">
          <cell r="E50">
            <v>132.114</v>
          </cell>
          <cell r="U50">
            <v>172.38295000000005</v>
          </cell>
          <cell r="AY50">
            <v>12.513969624026045</v>
          </cell>
        </row>
        <row r="51">
          <cell r="E51">
            <v>132.22800000000001</v>
          </cell>
          <cell r="U51">
            <v>174.36284000000001</v>
          </cell>
          <cell r="AY51">
            <v>12.64423084643494</v>
          </cell>
        </row>
        <row r="52">
          <cell r="E52">
            <v>132.24299999999999</v>
          </cell>
          <cell r="U52">
            <v>174.45435000000003</v>
          </cell>
          <cell r="AY52">
            <v>11.799275856405973</v>
          </cell>
        </row>
        <row r="53">
          <cell r="E53">
            <v>131.441</v>
          </cell>
          <cell r="U53">
            <v>172.49114000000003</v>
          </cell>
          <cell r="AY53">
            <v>10.743241652875618</v>
          </cell>
        </row>
        <row r="54">
          <cell r="E54">
            <v>130.90100000000001</v>
          </cell>
          <cell r="U54">
            <v>173.23862</v>
          </cell>
          <cell r="AY54">
            <v>10.476659303797275</v>
          </cell>
        </row>
        <row r="55">
          <cell r="E55">
            <v>130.071</v>
          </cell>
          <cell r="U55">
            <v>175.77810000000002</v>
          </cell>
          <cell r="AY55">
            <v>12.126140855999701</v>
          </cell>
        </row>
        <row r="56">
          <cell r="E56">
            <v>129.26499999999999</v>
          </cell>
          <cell r="U56">
            <v>175.97211999999996</v>
          </cell>
          <cell r="AY56">
            <v>12.53216702736772</v>
          </cell>
        </row>
        <row r="57">
          <cell r="E57">
            <v>127.599</v>
          </cell>
          <cell r="U57">
            <v>175.00399999999999</v>
          </cell>
          <cell r="AY57">
            <v>12.215149368014453</v>
          </cell>
        </row>
        <row r="58">
          <cell r="E58">
            <v>126.393</v>
          </cell>
          <cell r="U58">
            <v>171.87876</v>
          </cell>
          <cell r="AY58">
            <v>11.342739498469735</v>
          </cell>
        </row>
        <row r="59">
          <cell r="E59">
            <v>124.27</v>
          </cell>
          <cell r="U59">
            <v>169.17932000000002</v>
          </cell>
          <cell r="AY59">
            <v>9.4647028963114224</v>
          </cell>
        </row>
        <row r="60">
          <cell r="E60">
            <v>122.01600000000001</v>
          </cell>
          <cell r="U60">
            <v>164.38271000000003</v>
          </cell>
          <cell r="AY60">
            <v>7.4610705712297838</v>
          </cell>
        </row>
        <row r="61">
          <cell r="E61">
            <v>119.973</v>
          </cell>
          <cell r="U61">
            <v>166.67234000000002</v>
          </cell>
          <cell r="AY61">
            <v>9.5638784455776857</v>
          </cell>
        </row>
        <row r="62">
          <cell r="E62">
            <v>115.14100000000001</v>
          </cell>
          <cell r="U62">
            <v>161.35362000000003</v>
          </cell>
          <cell r="AY62">
            <v>7.16725165509148</v>
          </cell>
        </row>
        <row r="63">
          <cell r="E63">
            <v>118.127</v>
          </cell>
          <cell r="U63">
            <v>166.21045000000004</v>
          </cell>
          <cell r="AY63">
            <v>10.778774740096065</v>
          </cell>
        </row>
        <row r="64">
          <cell r="E64">
            <v>116.45399999999999</v>
          </cell>
          <cell r="U64">
            <v>165.75577000000001</v>
          </cell>
          <cell r="AY64">
            <v>10.88877328372943</v>
          </cell>
        </row>
        <row r="65">
          <cell r="E65">
            <v>116.51300000000001</v>
          </cell>
          <cell r="U65">
            <v>163.69299999999998</v>
          </cell>
          <cell r="AY65">
            <v>9.3302706896446619</v>
          </cell>
        </row>
        <row r="66">
          <cell r="E66">
            <v>116.42700000000001</v>
          </cell>
          <cell r="U66">
            <v>163.16878000000003</v>
          </cell>
          <cell r="AY66">
            <v>8.4549139853837261</v>
          </cell>
        </row>
        <row r="67">
          <cell r="E67">
            <v>116.839</v>
          </cell>
          <cell r="U67">
            <v>161.48755999999997</v>
          </cell>
          <cell r="AY67">
            <v>7.3445657362090113</v>
          </cell>
        </row>
        <row r="68">
          <cell r="E68">
            <v>118.10599999999999</v>
          </cell>
          <cell r="U68">
            <v>162.87091999999998</v>
          </cell>
          <cell r="AY68">
            <v>7.2787210878406263</v>
          </cell>
        </row>
        <row r="69">
          <cell r="E69">
            <v>118.892</v>
          </cell>
          <cell r="U69">
            <v>165.41893999999999</v>
          </cell>
          <cell r="AY69">
            <v>8.2994970225295752</v>
          </cell>
        </row>
        <row r="70">
          <cell r="E70">
            <v>119.694</v>
          </cell>
          <cell r="U70">
            <v>170.02160000000001</v>
          </cell>
          <cell r="AY70">
            <v>10.311983889105862</v>
          </cell>
        </row>
        <row r="71">
          <cell r="E71">
            <v>121.70099999999999</v>
          </cell>
          <cell r="U71">
            <v>170.08942999999999</v>
          </cell>
          <cell r="AY71">
            <v>9.6992682026155137</v>
          </cell>
        </row>
        <row r="72">
          <cell r="E72">
            <v>122.959</v>
          </cell>
          <cell r="U72">
            <v>170.57686999999999</v>
          </cell>
          <cell r="AY72">
            <v>9.0527338202418743</v>
          </cell>
        </row>
        <row r="73">
          <cell r="E73">
            <v>123.532</v>
          </cell>
          <cell r="U73">
            <v>173.23749999999998</v>
          </cell>
          <cell r="AY73">
            <v>9.6419655097770534</v>
          </cell>
        </row>
        <row r="74">
          <cell r="E74">
            <v>124.7</v>
          </cell>
          <cell r="U74">
            <v>171.89117999999999</v>
          </cell>
          <cell r="AY74">
            <v>8.6910683840788074</v>
          </cell>
        </row>
        <row r="75">
          <cell r="E75">
            <v>124.506</v>
          </cell>
          <cell r="U75">
            <v>175.13755</v>
          </cell>
          <cell r="AY75">
            <v>9.9930311917690062</v>
          </cell>
        </row>
        <row r="76">
          <cell r="E76">
            <v>125.49299999999999</v>
          </cell>
          <cell r="U76">
            <v>176.51615000000001</v>
          </cell>
          <cell r="AY76">
            <v>10.039392996051635</v>
          </cell>
        </row>
        <row r="77">
          <cell r="E77">
            <v>126.24299999999999</v>
          </cell>
          <cell r="U77">
            <v>175.50209000000004</v>
          </cell>
          <cell r="AY77">
            <v>8.2899810480889293</v>
          </cell>
        </row>
        <row r="78">
          <cell r="E78">
            <v>127.482</v>
          </cell>
          <cell r="U78">
            <v>176.58524</v>
          </cell>
          <cell r="AY78">
            <v>7.88131556182159</v>
          </cell>
        </row>
        <row r="79">
          <cell r="E79">
            <v>129.035</v>
          </cell>
          <cell r="U79">
            <v>178.51366999999999</v>
          </cell>
          <cell r="AY79">
            <v>7.4625489465316583</v>
          </cell>
        </row>
        <row r="80">
          <cell r="E80">
            <v>130.29900000000001</v>
          </cell>
          <cell r="U80">
            <v>181.43087</v>
          </cell>
          <cell r="AY80">
            <v>7.8910882144807815</v>
          </cell>
        </row>
        <row r="81">
          <cell r="E81">
            <v>131.495</v>
          </cell>
          <cell r="U81">
            <v>180.74962000000002</v>
          </cell>
          <cell r="AY81">
            <v>7.0177851549563446</v>
          </cell>
        </row>
        <row r="82">
          <cell r="E82">
            <v>132.83600000000001</v>
          </cell>
          <cell r="U82">
            <v>184.29586</v>
          </cell>
          <cell r="AY82">
            <v>7.7114374679930435</v>
          </cell>
        </row>
        <row r="83">
          <cell r="E83">
            <v>133.69200000000001</v>
          </cell>
          <cell r="U83">
            <v>184.09243999999995</v>
          </cell>
          <cell r="AY83">
            <v>6.7017635270628109</v>
          </cell>
        </row>
        <row r="84">
          <cell r="E84">
            <v>135.46600000000001</v>
          </cell>
          <cell r="U84">
            <v>184.83879999999999</v>
          </cell>
          <cell r="AY84">
            <v>6.660289939125331</v>
          </cell>
        </row>
        <row r="85">
          <cell r="E85">
            <v>137.68299999999999</v>
          </cell>
          <cell r="U85">
            <v>186.40069</v>
          </cell>
          <cell r="AY85">
            <v>6.7659030661313677</v>
          </cell>
        </row>
        <row r="86">
          <cell r="E86">
            <v>139.23099999999999</v>
          </cell>
          <cell r="U86">
            <v>190.59106000000003</v>
          </cell>
          <cell r="AY86">
            <v>8.4007403075464318</v>
          </cell>
        </row>
        <row r="87">
          <cell r="E87">
            <v>142.38499999999999</v>
          </cell>
          <cell r="U87">
            <v>193.49839</v>
          </cell>
          <cell r="AY87">
            <v>9.9573903431444766</v>
          </cell>
        </row>
        <row r="88">
          <cell r="E88">
            <v>144.798</v>
          </cell>
          <cell r="U88">
            <v>197.47735000000003</v>
          </cell>
          <cell r="AY88">
            <v>12.268926031263854</v>
          </cell>
        </row>
        <row r="89">
          <cell r="E89">
            <v>145.97900000000001</v>
          </cell>
          <cell r="U89">
            <v>193.52690000000001</v>
          </cell>
          <cell r="AY89">
            <v>7.4573095523154844</v>
          </cell>
        </row>
        <row r="90">
          <cell r="E90">
            <v>147.03299999999999</v>
          </cell>
          <cell r="U90">
            <v>197.96832999999998</v>
          </cell>
          <cell r="AY90">
            <v>9.135466263720069</v>
          </cell>
        </row>
        <row r="91">
          <cell r="E91">
            <v>146.66200000000001</v>
          </cell>
          <cell r="U91">
            <v>196.74657000000002</v>
          </cell>
          <cell r="AY91">
            <v>13.943099490883151</v>
          </cell>
        </row>
        <row r="92">
          <cell r="E92">
            <v>127.83799999999999</v>
          </cell>
          <cell r="U92">
            <v>181.48652000000001</v>
          </cell>
          <cell r="AY92">
            <v>27.871227020056384</v>
          </cell>
        </row>
        <row r="93">
          <cell r="E93">
            <v>142.30000000000001</v>
          </cell>
          <cell r="U93">
            <v>198.40358000000003</v>
          </cell>
          <cell r="AY93">
            <v>19.590160621093645</v>
          </cell>
        </row>
        <row r="94">
          <cell r="E94">
            <v>143.89599999999999</v>
          </cell>
          <cell r="U94">
            <v>192.82336999999995</v>
          </cell>
          <cell r="AY94">
            <v>16.540718067524683</v>
          </cell>
        </row>
        <row r="95">
          <cell r="E95">
            <v>146.15799999999999</v>
          </cell>
          <cell r="U95">
            <v>197.60936999999998</v>
          </cell>
          <cell r="AY95">
            <v>17.512514715268818</v>
          </cell>
        </row>
        <row r="96">
          <cell r="E96">
            <v>145.38399999999999</v>
          </cell>
          <cell r="U96">
            <v>195.88814999999997</v>
          </cell>
          <cell r="AY96">
            <v>15.108698509838376</v>
          </cell>
        </row>
        <row r="97">
          <cell r="E97">
            <v>153.22200000000001</v>
          </cell>
          <cell r="U97">
            <v>204.15025999999997</v>
          </cell>
          <cell r="AY97">
            <v>15.887444865365334</v>
          </cell>
        </row>
        <row r="98">
          <cell r="E98">
            <v>154.59899999999999</v>
          </cell>
          <cell r="U98">
            <v>205.57420999999999</v>
          </cell>
          <cell r="AY98">
            <v>13.132586037908156</v>
          </cell>
        </row>
        <row r="99">
          <cell r="E99">
            <v>156.88399999999999</v>
          </cell>
          <cell r="U99">
            <v>205.08620000000002</v>
          </cell>
          <cell r="AY99">
            <v>10.642939407917261</v>
          </cell>
        </row>
        <row r="100">
          <cell r="E100">
            <v>157.69999999999999</v>
          </cell>
          <cell r="U100">
            <v>203.98140000000001</v>
          </cell>
          <cell r="AY100">
            <v>7.7896317997621223</v>
          </cell>
        </row>
        <row r="101">
          <cell r="E101">
            <v>163.11799999999999</v>
          </cell>
          <cell r="U101">
            <v>210.31215999999998</v>
          </cell>
          <cell r="AY101">
            <v>7.8902522802295474</v>
          </cell>
        </row>
        <row r="102">
          <cell r="E102">
            <v>165.345</v>
          </cell>
          <cell r="U102">
            <v>217.98524</v>
          </cell>
          <cell r="AY102">
            <v>11.034343426187959</v>
          </cell>
        </row>
        <row r="103">
          <cell r="E103">
            <v>169.857</v>
          </cell>
          <cell r="U103">
            <v>224.40664000000004</v>
          </cell>
          <cell r="AY103">
            <v>11.641206338635977</v>
          </cell>
        </row>
        <row r="104">
          <cell r="E104">
            <v>172.489</v>
          </cell>
          <cell r="U104">
            <v>227.76712000000001</v>
          </cell>
          <cell r="AY104">
            <v>11.495566173027967</v>
          </cell>
        </row>
        <row r="105">
          <cell r="E105">
            <v>178.01900000000001</v>
          </cell>
          <cell r="U105">
            <v>234.80141</v>
          </cell>
          <cell r="AY105">
            <v>12.67684465778976</v>
          </cell>
        </row>
        <row r="106">
          <cell r="E106">
            <v>179.31899999999999</v>
          </cell>
          <cell r="U106">
            <v>237.76781999999997</v>
          </cell>
          <cell r="AY106">
            <v>12.0095393901496</v>
          </cell>
        </row>
        <row r="107">
          <cell r="E107">
            <v>183.553</v>
          </cell>
          <cell r="U107">
            <v>250.10022000000004</v>
          </cell>
          <cell r="AY107">
            <v>14.739379277635168</v>
          </cell>
        </row>
        <row r="108">
          <cell r="E108">
            <v>184.52199999999999</v>
          </cell>
          <cell r="U108">
            <v>246.10641999999996</v>
          </cell>
          <cell r="AY108">
            <v>12.117692825729639</v>
          </cell>
        </row>
        <row r="109">
          <cell r="E109">
            <v>186.556170528</v>
          </cell>
          <cell r="U109">
            <v>248.47293084729861</v>
          </cell>
          <cell r="AY109">
            <v>11.717692825729639</v>
          </cell>
        </row>
        <row r="110">
          <cell r="E110">
            <v>188.7072601833965</v>
          </cell>
          <cell r="U110">
            <v>251.17038838337601</v>
          </cell>
          <cell r="AY110">
            <v>11.51769282572964</v>
          </cell>
        </row>
        <row r="111">
          <cell r="E111">
            <v>190.78794945349478</v>
          </cell>
          <cell r="U111">
            <v>254.00986401381468</v>
          </cell>
          <cell r="AY111">
            <v>11.41769282572964</v>
          </cell>
        </row>
        <row r="112">
          <cell r="E112">
            <v>193.0842793183314</v>
          </cell>
          <cell r="U112">
            <v>256.30721427617914</v>
          </cell>
          <cell r="AY112">
            <v>11.31769282572964</v>
          </cell>
        </row>
        <row r="113">
          <cell r="E113">
            <v>195.50575698863375</v>
          </cell>
          <cell r="U113">
            <v>258.68265594458273</v>
          </cell>
          <cell r="AY113">
            <v>11.217692825729641</v>
          </cell>
        </row>
        <row r="114">
          <cell r="E114">
            <v>197.95760250725849</v>
          </cell>
          <cell r="U114">
            <v>261.07914807948163</v>
          </cell>
          <cell r="AY114">
            <v>11.117692825729641</v>
          </cell>
        </row>
      </sheetData>
      <sheetData sheetId="17"/>
      <sheetData sheetId="18"/>
      <sheetData sheetId="25"/>
      <sheetData sheetId="27"/>
      <sheetData sheetId="28">
        <row r="38">
          <cell r="W38">
            <v>21000.2</v>
          </cell>
        </row>
        <row r="39">
          <cell r="W39">
            <v>21108.400000000001</v>
          </cell>
        </row>
        <row r="40">
          <cell r="W40">
            <v>21240.799999999999</v>
          </cell>
        </row>
        <row r="41">
          <cell r="W41">
            <v>21342.6</v>
          </cell>
        </row>
        <row r="42">
          <cell r="W42">
            <v>21544.3</v>
          </cell>
        </row>
        <row r="43">
          <cell r="W43">
            <v>21341.7</v>
          </cell>
        </row>
        <row r="44">
          <cell r="W44">
            <v>21131.599999999999</v>
          </cell>
        </row>
        <row r="45">
          <cell r="W45">
            <v>20766.8</v>
          </cell>
        </row>
        <row r="46">
          <cell r="W46">
            <v>20195.3</v>
          </cell>
        </row>
        <row r="47">
          <cell r="W47">
            <v>19890.099999999999</v>
          </cell>
        </row>
        <row r="48">
          <cell r="W48">
            <v>19708.3</v>
          </cell>
        </row>
        <row r="49">
          <cell r="W49">
            <v>19616.3</v>
          </cell>
        </row>
        <row r="50">
          <cell r="W50">
            <v>19607.099999999999</v>
          </cell>
        </row>
        <row r="51">
          <cell r="W51">
            <v>19512.900000000001</v>
          </cell>
        </row>
        <row r="52">
          <cell r="W52">
            <v>19476.8</v>
          </cell>
        </row>
        <row r="53">
          <cell r="W53">
            <v>19426.8</v>
          </cell>
        </row>
        <row r="54">
          <cell r="W54">
            <v>19227</v>
          </cell>
        </row>
        <row r="55">
          <cell r="W55">
            <v>19143.2</v>
          </cell>
        </row>
        <row r="56">
          <cell r="W56">
            <v>18912.099999999999</v>
          </cell>
        </row>
        <row r="57">
          <cell r="W57">
            <v>18760.900000000001</v>
          </cell>
        </row>
        <row r="58">
          <cell r="W58">
            <v>18519.599999999999</v>
          </cell>
        </row>
        <row r="59">
          <cell r="W59">
            <v>18350.599999999999</v>
          </cell>
        </row>
        <row r="60">
          <cell r="W60">
            <v>18150.5</v>
          </cell>
        </row>
        <row r="61">
          <cell r="W61">
            <v>17971.7</v>
          </cell>
        </row>
        <row r="62">
          <cell r="W62">
            <v>17860.8</v>
          </cell>
        </row>
        <row r="63">
          <cell r="W63">
            <v>17795</v>
          </cell>
        </row>
        <row r="64">
          <cell r="W64">
            <v>17781.2</v>
          </cell>
        </row>
        <row r="65">
          <cell r="W65">
            <v>17774.2</v>
          </cell>
        </row>
        <row r="66">
          <cell r="W66">
            <v>17783.2</v>
          </cell>
        </row>
        <row r="67">
          <cell r="W67">
            <v>17945.8</v>
          </cell>
        </row>
        <row r="68">
          <cell r="W68">
            <v>18041.2</v>
          </cell>
        </row>
        <row r="69">
          <cell r="W69">
            <v>18180.599999999999</v>
          </cell>
        </row>
        <row r="70">
          <cell r="W70">
            <v>18288.400000000001</v>
          </cell>
        </row>
        <row r="71">
          <cell r="W71">
            <v>18452.8</v>
          </cell>
        </row>
        <row r="72">
          <cell r="W72">
            <v>18562.400000000001</v>
          </cell>
        </row>
        <row r="73">
          <cell r="W73">
            <v>18659.599999999999</v>
          </cell>
        </row>
        <row r="74">
          <cell r="W74">
            <v>18740.3</v>
          </cell>
        </row>
        <row r="75">
          <cell r="W75">
            <v>18828.7</v>
          </cell>
        </row>
        <row r="76">
          <cell r="W76">
            <v>18939.599999999999</v>
          </cell>
        </row>
        <row r="77">
          <cell r="W77">
            <v>19033</v>
          </cell>
        </row>
        <row r="78">
          <cell r="W78">
            <v>19174.900000000001</v>
          </cell>
        </row>
        <row r="79">
          <cell r="W79">
            <v>19322.099999999999</v>
          </cell>
        </row>
        <row r="80">
          <cell r="W80">
            <v>19474.900000000001</v>
          </cell>
        </row>
        <row r="81">
          <cell r="W81">
            <v>19556.5</v>
          </cell>
        </row>
        <row r="82">
          <cell r="W82">
            <v>19609.400000000001</v>
          </cell>
        </row>
        <row r="83">
          <cell r="W83">
            <v>19746.7</v>
          </cell>
        </row>
        <row r="84">
          <cell r="W84">
            <v>19885.2</v>
          </cell>
        </row>
        <row r="85">
          <cell r="W85">
            <v>19995.099999999999</v>
          </cell>
        </row>
        <row r="86">
          <cell r="W86">
            <v>20201.400000000001</v>
          </cell>
        </row>
        <row r="87">
          <cell r="W87">
            <v>20298.599999999999</v>
          </cell>
        </row>
        <row r="88">
          <cell r="W88">
            <v>20349.7</v>
          </cell>
        </row>
        <row r="89">
          <cell r="W89">
            <v>20478.7</v>
          </cell>
        </row>
        <row r="90">
          <cell r="W90">
            <v>20243.8</v>
          </cell>
        </row>
        <row r="91">
          <cell r="W91">
            <v>18777.099999999999</v>
          </cell>
        </row>
        <row r="92">
          <cell r="W92">
            <v>19320.900000000001</v>
          </cell>
        </row>
        <row r="93">
          <cell r="W93">
            <v>19588.599999999999</v>
          </cell>
        </row>
        <row r="94">
          <cell r="W94">
            <v>19705.8</v>
          </cell>
        </row>
        <row r="95">
          <cell r="W95">
            <v>19618.2</v>
          </cell>
        </row>
        <row r="96">
          <cell r="W96">
            <v>20078.7</v>
          </cell>
        </row>
        <row r="97">
          <cell r="W97">
            <v>20307.3</v>
          </cell>
        </row>
        <row r="98">
          <cell r="W98">
            <v>20428.400000000001</v>
          </cell>
        </row>
        <row r="99">
          <cell r="W99">
            <v>20286.400000000001</v>
          </cell>
        </row>
        <row r="100">
          <cell r="W100">
            <v>20501.8</v>
          </cell>
        </row>
        <row r="101">
          <cell r="W101">
            <v>20629.8</v>
          </cell>
        </row>
        <row r="102">
          <cell r="W102">
            <v>20824.099999999999</v>
          </cell>
        </row>
        <row r="103">
          <cell r="W103">
            <v>21056.9</v>
          </cell>
        </row>
        <row r="104">
          <cell r="W104">
            <v>21247.3</v>
          </cell>
        </row>
        <row r="105">
          <cell r="W105">
            <v>21326.9</v>
          </cell>
        </row>
        <row r="106">
          <cell r="W106">
            <v>21422.3</v>
          </cell>
        </row>
        <row r="107">
          <cell r="W107">
            <v>21511.1</v>
          </cell>
        </row>
        <row r="108">
          <cell r="W108">
            <v>21575.633299999998</v>
          </cell>
        </row>
        <row r="109">
          <cell r="W109">
            <v>21629.572383249997</v>
          </cell>
        </row>
        <row r="110">
          <cell r="W110">
            <v>21672.831528016497</v>
          </cell>
        </row>
        <row r="111">
          <cell r="W111">
            <v>21716.177191072529</v>
          </cell>
        </row>
        <row r="112">
          <cell r="W112">
            <v>21770.467634050208</v>
          </cell>
        </row>
        <row r="113">
          <cell r="W113">
            <v>21824.893803135332</v>
          </cell>
        </row>
      </sheetData>
      <sheetData sheetId="32"/>
      <sheetData sheetId="33"/>
      <sheetData sheetId="45"/>
      <sheetData sheetId="46"/>
      <sheetData sheetId="49"/>
      <sheetData sheetId="50">
        <row r="153">
          <cell r="B153">
            <v>85.385941713813395</v>
          </cell>
          <cell r="G153">
            <v>86.933333333333337</v>
          </cell>
        </row>
        <row r="154">
          <cell r="B154">
            <v>86.157219066673065</v>
          </cell>
          <cell r="G154">
            <v>88.863333333333344</v>
          </cell>
        </row>
        <row r="155">
          <cell r="B155">
            <v>86.641316383293812</v>
          </cell>
          <cell r="G155">
            <v>88.626666666666665</v>
          </cell>
        </row>
        <row r="156">
          <cell r="B156">
            <v>87.954107381635509</v>
          </cell>
          <cell r="G156">
            <v>90.563333333333333</v>
          </cell>
        </row>
        <row r="157">
          <cell r="B157">
            <v>88.927512548164614</v>
          </cell>
          <cell r="G157">
            <v>90.820000000000007</v>
          </cell>
        </row>
        <row r="158">
          <cell r="B158">
            <v>89.488363822647656</v>
          </cell>
          <cell r="G158">
            <v>93.006666666666661</v>
          </cell>
        </row>
        <row r="159">
          <cell r="B159">
            <v>90.094255272137346</v>
          </cell>
          <cell r="G159">
            <v>93.013333333333335</v>
          </cell>
        </row>
        <row r="160">
          <cell r="B160">
            <v>89.980524488343207</v>
          </cell>
          <cell r="G160">
            <v>92.81</v>
          </cell>
        </row>
        <row r="161">
          <cell r="B161">
            <v>88.992513552770433</v>
          </cell>
          <cell r="G161">
            <v>91.25333333333333</v>
          </cell>
        </row>
        <row r="162">
          <cell r="B162">
            <v>88.559075628234083</v>
          </cell>
          <cell r="G162">
            <v>92.38666666666667</v>
          </cell>
        </row>
        <row r="163">
          <cell r="B163">
            <v>88.456555595569881</v>
          </cell>
          <cell r="G163">
            <v>92.089999999999989</v>
          </cell>
        </row>
        <row r="164">
          <cell r="B164">
            <v>89.083673640579008</v>
          </cell>
          <cell r="G164">
            <v>93.036666666666676</v>
          </cell>
        </row>
        <row r="165">
          <cell r="B165">
            <v>89.460644329674608</v>
          </cell>
          <cell r="G165">
            <v>92.410000000000011</v>
          </cell>
        </row>
        <row r="166">
          <cell r="B166">
            <v>90.07537523943418</v>
          </cell>
          <cell r="G166">
            <v>94.516666666666652</v>
          </cell>
        </row>
        <row r="167">
          <cell r="B167">
            <v>91.005408035203175</v>
          </cell>
          <cell r="G167">
            <v>93.966666666666683</v>
          </cell>
        </row>
        <row r="168">
          <cell r="B168">
            <v>91.535653499288998</v>
          </cell>
          <cell r="G168">
            <v>95.40666666666668</v>
          </cell>
        </row>
        <row r="169">
          <cell r="B169">
            <v>92.041717248546632</v>
          </cell>
          <cell r="G169">
            <v>95.410000000000011</v>
          </cell>
        </row>
        <row r="170">
          <cell r="B170">
            <v>92.659397277436625</v>
          </cell>
          <cell r="G170">
            <v>97.64</v>
          </cell>
        </row>
        <row r="171">
          <cell r="B171">
            <v>92.870266950342582</v>
          </cell>
          <cell r="G171">
            <v>96.703333333333333</v>
          </cell>
        </row>
        <row r="172">
          <cell r="B172">
            <v>92.966402308050263</v>
          </cell>
          <cell r="G172">
            <v>98.023333333333326</v>
          </cell>
        </row>
        <row r="173">
          <cell r="B173">
            <v>93.517481853885684</v>
          </cell>
          <cell r="G173">
            <v>97.21</v>
          </cell>
        </row>
        <row r="174">
          <cell r="B174">
            <v>94.33260433257567</v>
          </cell>
          <cell r="G174">
            <v>99.49</v>
          </cell>
        </row>
        <row r="175">
          <cell r="B175">
            <v>94.962582674924107</v>
          </cell>
          <cell r="G175">
            <v>99.39</v>
          </cell>
        </row>
        <row r="176">
          <cell r="B176">
            <v>95.502638914741567</v>
          </cell>
          <cell r="G176">
            <v>101.13333333333333</v>
          </cell>
        </row>
        <row r="177">
          <cell r="B177">
            <v>95.743696003677485</v>
          </cell>
          <cell r="G177">
            <v>99.896666666666661</v>
          </cell>
        </row>
        <row r="178">
          <cell r="B178">
            <v>95.143244430482312</v>
          </cell>
          <cell r="G178">
            <v>101.33333333333333</v>
          </cell>
        </row>
        <row r="179">
          <cell r="B179">
            <v>95.640940347287255</v>
          </cell>
          <cell r="G179">
            <v>100.71666666666665</v>
          </cell>
        </row>
        <row r="180">
          <cell r="B180">
            <v>95.498244972018881</v>
          </cell>
          <cell r="G180">
            <v>101.35333333333334</v>
          </cell>
        </row>
        <row r="181">
          <cell r="B181">
            <v>95.556860519112419</v>
          </cell>
          <cell r="G181">
            <v>99.929999999999993</v>
          </cell>
        </row>
        <row r="182">
          <cell r="B182">
            <v>95.799440691469187</v>
          </cell>
          <cell r="G182">
            <v>101.53333333333335</v>
          </cell>
        </row>
        <row r="183">
          <cell r="B183">
            <v>95.616732099672745</v>
          </cell>
          <cell r="G183">
            <v>100.33</v>
          </cell>
        </row>
        <row r="184">
          <cell r="B184">
            <v>95.557171755348975</v>
          </cell>
          <cell r="G184">
            <v>100.74000000000001</v>
          </cell>
        </row>
        <row r="185">
          <cell r="B185">
            <v>95.392706214667626</v>
          </cell>
          <cell r="G185">
            <v>98.79</v>
          </cell>
        </row>
        <row r="186">
          <cell r="B186">
            <v>95.804662717995029</v>
          </cell>
          <cell r="G186">
            <v>101.18666666666667</v>
          </cell>
        </row>
        <row r="187">
          <cell r="B187">
            <v>95.539660668899373</v>
          </cell>
          <cell r="G187">
            <v>99.766666666666666</v>
          </cell>
        </row>
        <row r="188">
          <cell r="B188">
            <v>95.546594012945391</v>
          </cell>
          <cell r="G188">
            <v>100.25666666666666</v>
          </cell>
        </row>
        <row r="189">
          <cell r="B189">
            <v>95.524902870819787</v>
          </cell>
          <cell r="G189">
            <v>98</v>
          </cell>
        </row>
        <row r="190">
          <cell r="B190">
            <v>95.238729358280978</v>
          </cell>
          <cell r="G190">
            <v>100.13666666666666</v>
          </cell>
        </row>
        <row r="191">
          <cell r="B191">
            <v>95.865183887084925</v>
          </cell>
          <cell r="G191">
            <v>99.463333333333324</v>
          </cell>
        </row>
        <row r="192">
          <cell r="B192">
            <v>96.594100418267701</v>
          </cell>
          <cell r="G192">
            <v>101.05333333333333</v>
          </cell>
        </row>
        <row r="193">
          <cell r="B193">
            <v>97.068320410877504</v>
          </cell>
          <cell r="G193">
            <v>100.64999999999999</v>
          </cell>
        </row>
        <row r="194">
          <cell r="B194">
            <v>97.374765579354118</v>
          </cell>
          <cell r="G194">
            <v>102.19666666666667</v>
          </cell>
        </row>
        <row r="195">
          <cell r="B195">
            <v>97.177136810604793</v>
          </cell>
          <cell r="G195">
            <v>101.3</v>
          </cell>
        </row>
        <row r="196">
          <cell r="B196">
            <v>97.670230666951724</v>
          </cell>
          <cell r="G196">
            <v>102.62333333333333</v>
          </cell>
        </row>
        <row r="197">
          <cell r="B197">
            <v>98.302880730045018</v>
          </cell>
          <cell r="G197">
            <v>101.72666666666667</v>
          </cell>
        </row>
        <row r="198">
          <cell r="B198">
            <v>98.29845064411353</v>
          </cell>
          <cell r="G198">
            <v>104.08</v>
          </cell>
        </row>
        <row r="199">
          <cell r="B199">
            <v>99.025598525803716</v>
          </cell>
          <cell r="G199">
            <v>103.59333333333332</v>
          </cell>
        </row>
        <row r="200">
          <cell r="B200">
            <v>99.389628876127475</v>
          </cell>
          <cell r="G200">
            <v>104.42999999999999</v>
          </cell>
        </row>
        <row r="201">
          <cell r="B201">
            <v>99.375838841870731</v>
          </cell>
          <cell r="G201">
            <v>102.87666666666667</v>
          </cell>
        </row>
        <row r="202">
          <cell r="B202">
            <v>99.715925569754603</v>
          </cell>
          <cell r="G202">
            <v>105.18333333333334</v>
          </cell>
        </row>
        <row r="203">
          <cell r="B203">
            <v>99.555209880117076</v>
          </cell>
          <cell r="G203">
            <v>104.04333333333334</v>
          </cell>
        </row>
        <row r="204">
          <cell r="B204">
            <v>100.25791302157303</v>
          </cell>
          <cell r="G204">
            <v>104.95333333333333</v>
          </cell>
        </row>
        <row r="205">
          <cell r="B205">
            <v>100.2861984985431</v>
          </cell>
          <cell r="G205">
            <v>103.58666666666666</v>
          </cell>
        </row>
        <row r="206">
          <cell r="B206">
            <v>99.206055961211106</v>
          </cell>
          <cell r="G206">
            <v>104.54333333333334</v>
          </cell>
        </row>
        <row r="207">
          <cell r="B207">
            <v>99.667624111937684</v>
          </cell>
          <cell r="G207">
            <v>103.38333333333333</v>
          </cell>
        </row>
        <row r="208">
          <cell r="B208">
            <v>99.731324463533454</v>
          </cell>
          <cell r="G208">
            <v>104.13666666666666</v>
          </cell>
        </row>
        <row r="209">
          <cell r="B209">
            <v>101.0679742392126</v>
          </cell>
          <cell r="G209">
            <v>104.12</v>
          </cell>
        </row>
        <row r="210">
          <cell r="B210">
            <v>100.20366669744959</v>
          </cell>
          <cell r="G210">
            <v>106.93333333333334</v>
          </cell>
        </row>
        <row r="211">
          <cell r="B211">
            <v>101.81689945238118</v>
          </cell>
          <cell r="G211">
            <v>106.90000000000002</v>
          </cell>
        </row>
        <row r="212">
          <cell r="B212">
            <v>104.19612038502079</v>
          </cell>
          <cell r="G212">
            <v>110.2</v>
          </cell>
        </row>
        <row r="213">
          <cell r="B213">
            <v>105.71896774144295</v>
          </cell>
          <cell r="G213">
            <v>112.30666666666667</v>
          </cell>
        </row>
        <row r="214">
          <cell r="B214">
            <v>106.93882129554409</v>
          </cell>
          <cell r="G214">
            <v>116.48666666666668</v>
          </cell>
        </row>
        <row r="215">
          <cell r="B215">
            <v>109.66909085045185</v>
          </cell>
          <cell r="G215">
            <v>117.64333333333333</v>
          </cell>
        </row>
        <row r="216">
          <cell r="B216">
            <v>111.41533175684476</v>
          </cell>
          <cell r="G216">
            <v>117.34999999999998</v>
          </cell>
        </row>
        <row r="217">
          <cell r="B217">
            <v>112.53024223859683</v>
          </cell>
          <cell r="G217">
            <v>117.86666666666667</v>
          </cell>
        </row>
        <row r="218">
          <cell r="B218">
            <v>113.6033296154561</v>
          </cell>
          <cell r="G218">
            <v>119.72666666666667</v>
          </cell>
        </row>
        <row r="219">
          <cell r="B219">
            <v>114.60593812428061</v>
          </cell>
          <cell r="G219">
            <v>120.69666666666667</v>
          </cell>
        </row>
        <row r="220">
          <cell r="B220">
            <v>116.74924553682767</v>
          </cell>
          <cell r="G220">
            <v>121.26666666666667</v>
          </cell>
        </row>
        <row r="221">
          <cell r="B221">
            <v>118.44268712273221</v>
          </cell>
          <cell r="G221">
            <v>121.68</v>
          </cell>
        </row>
        <row r="222">
          <cell r="B222">
            <v>118.95553775571148</v>
          </cell>
          <cell r="G222">
            <v>124.02</v>
          </cell>
        </row>
        <row r="223">
          <cell r="B223">
            <v>119.90718205775717</v>
          </cell>
          <cell r="G223">
            <v>123.77909115</v>
          </cell>
        </row>
        <row r="224">
          <cell r="B224">
            <v>120.81697780162041</v>
          </cell>
          <cell r="G224">
            <v>124.71826500410063</v>
          </cell>
        </row>
        <row r="225">
          <cell r="B225">
            <v>121.62010866155667</v>
          </cell>
          <cell r="G225">
            <v>125.54732967071538</v>
          </cell>
        </row>
        <row r="226">
          <cell r="B226">
            <v>122.29996506897477</v>
          </cell>
          <cell r="G226">
            <v>126.24913924357469</v>
          </cell>
        </row>
        <row r="227">
          <cell r="B227">
            <v>122.98362187371033</v>
          </cell>
          <cell r="G227">
            <v>126.95487193194627</v>
          </cell>
        </row>
        <row r="228">
          <cell r="B228">
            <v>123.67110031998438</v>
          </cell>
          <cell r="G228">
            <v>127.66454966604584</v>
          </cell>
        </row>
      </sheetData>
      <sheetData sheetId="51"/>
      <sheetData sheetId="55"/>
      <sheetData sheetId="62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 vol 0321"/>
      <sheetName val="CRE_val 0321"/>
      <sheetName val="CRE_val 0921"/>
      <sheetName val="CRE vol 0322"/>
      <sheetName val="CRE_val 0922"/>
      <sheetName val="CRE_val 0923"/>
      <sheetName val="Graphique25"/>
      <sheetName val="PREV 0522"/>
      <sheetName val="PREV 0922"/>
      <sheetName val="CRE 0522"/>
      <sheetName val="CRE vol 0921"/>
      <sheetName val="ANNUALISATION"/>
      <sheetName val="Graphique36"/>
      <sheetName val="CRE vol 0922"/>
      <sheetName val="CRE vol 0323"/>
      <sheetName val="import"/>
      <sheetName val="export"/>
      <sheetName val="Graphique29"/>
      <sheetName val="Graphique32"/>
      <sheetName val="Graphique1"/>
      <sheetName val="deflateurs"/>
      <sheetName val="tx inv"/>
      <sheetName val="tx inv valeur"/>
      <sheetName val="Graphique30"/>
      <sheetName val="Graphique28"/>
      <sheetName val="contrib"/>
      <sheetName val="CRE vol 0923"/>
      <sheetName val="Graphique31"/>
      <sheetName val="compo pib t42019"/>
      <sheetName val="CRE vol avt maj"/>
      <sheetName val="CRE vol V0"/>
      <sheetName val="CRE vol 0324"/>
      <sheetName val="CRE vol"/>
      <sheetName val="CRE vol (2)"/>
      <sheetName val="Feuil2"/>
      <sheetName val="fbcf logt"/>
      <sheetName val="CRE_val"/>
      <sheetName val="TAB"/>
      <sheetName val="Feuil1"/>
      <sheetName val="Tableau_Espagne"/>
    </sheetNames>
    <sheetDataSet>
      <sheetData sheetId="0"/>
      <sheetData sheetId="1"/>
      <sheetData sheetId="2"/>
      <sheetData sheetId="3"/>
      <sheetData sheetId="4"/>
      <sheetData sheetId="5"/>
      <sheetData sheetId="7"/>
      <sheetData sheetId="8"/>
      <sheetData sheetId="9"/>
      <sheetData sheetId="10"/>
      <sheetData sheetId="11"/>
      <sheetData sheetId="13"/>
      <sheetData sheetId="14"/>
      <sheetData sheetId="26"/>
      <sheetData sheetId="29"/>
      <sheetData sheetId="30"/>
      <sheetData sheetId="31"/>
      <sheetData sheetId="32">
        <row r="55">
          <cell r="EJ55">
            <v>44549.7</v>
          </cell>
        </row>
        <row r="56">
          <cell r="EJ56">
            <v>44758.8</v>
          </cell>
        </row>
        <row r="57">
          <cell r="EJ57">
            <v>44975.199999999997</v>
          </cell>
        </row>
        <row r="58">
          <cell r="EJ58">
            <v>45210.9</v>
          </cell>
        </row>
        <row r="59">
          <cell r="EJ59">
            <v>45367.7</v>
          </cell>
        </row>
        <row r="60">
          <cell r="EJ60">
            <v>45521</v>
          </cell>
        </row>
        <row r="61">
          <cell r="EJ61">
            <v>45665.4</v>
          </cell>
        </row>
        <row r="62">
          <cell r="EJ62">
            <v>45803.1</v>
          </cell>
        </row>
        <row r="63">
          <cell r="EJ63">
            <v>45870.3</v>
          </cell>
        </row>
        <row r="64">
          <cell r="EJ64">
            <v>45932.800000000003</v>
          </cell>
        </row>
        <row r="65">
          <cell r="EJ65">
            <v>45994.7</v>
          </cell>
        </row>
        <row r="66">
          <cell r="EJ66">
            <v>46060.3</v>
          </cell>
        </row>
        <row r="67">
          <cell r="EJ67">
            <v>46087.4</v>
          </cell>
        </row>
        <row r="68">
          <cell r="EJ68">
            <v>46122.2</v>
          </cell>
        </row>
        <row r="69">
          <cell r="EJ69">
            <v>46164</v>
          </cell>
        </row>
        <row r="70">
          <cell r="EJ70">
            <v>46222.8</v>
          </cell>
        </row>
        <row r="71">
          <cell r="EJ71">
            <v>46247.5</v>
          </cell>
        </row>
        <row r="72">
          <cell r="EJ72">
            <v>46280</v>
          </cell>
        </row>
        <row r="73">
          <cell r="EJ73">
            <v>46323.9</v>
          </cell>
        </row>
        <row r="74">
          <cell r="EJ74">
            <v>46375.6</v>
          </cell>
        </row>
        <row r="75">
          <cell r="EJ75">
            <v>46356.5</v>
          </cell>
        </row>
        <row r="76">
          <cell r="EJ76">
            <v>46329.4</v>
          </cell>
        </row>
        <row r="77">
          <cell r="EJ77">
            <v>46310.5</v>
          </cell>
        </row>
        <row r="78">
          <cell r="EJ78">
            <v>46301.7</v>
          </cell>
        </row>
        <row r="79">
          <cell r="EJ79">
            <v>46247.1</v>
          </cell>
        </row>
        <row r="80">
          <cell r="EJ80">
            <v>46184.800000000003</v>
          </cell>
        </row>
        <row r="81">
          <cell r="EJ81">
            <v>46106.6</v>
          </cell>
        </row>
        <row r="82">
          <cell r="EJ82">
            <v>46044.4</v>
          </cell>
        </row>
        <row r="83">
          <cell r="EJ83">
            <v>45976.7</v>
          </cell>
        </row>
        <row r="84">
          <cell r="EJ84">
            <v>46004</v>
          </cell>
        </row>
        <row r="85">
          <cell r="EJ85">
            <v>45998.6</v>
          </cell>
        </row>
        <row r="86">
          <cell r="EJ86">
            <v>46000.5</v>
          </cell>
        </row>
        <row r="87">
          <cell r="EJ87">
            <v>45986.400000000001</v>
          </cell>
        </row>
        <row r="88">
          <cell r="EJ88">
            <v>45970.2</v>
          </cell>
        </row>
        <row r="89">
          <cell r="EJ89">
            <v>45953.7</v>
          </cell>
        </row>
        <row r="90">
          <cell r="EJ90">
            <v>45957.8</v>
          </cell>
        </row>
        <row r="91">
          <cell r="EJ91">
            <v>45953.2</v>
          </cell>
        </row>
        <row r="92">
          <cell r="EJ92">
            <v>45955.5</v>
          </cell>
        </row>
        <row r="93">
          <cell r="EJ93">
            <v>45982.8</v>
          </cell>
        </row>
        <row r="94">
          <cell r="EJ94">
            <v>46019.6</v>
          </cell>
        </row>
        <row r="95">
          <cell r="EJ95">
            <v>46038.400000000001</v>
          </cell>
        </row>
        <row r="96">
          <cell r="EJ96">
            <v>46055.6</v>
          </cell>
        </row>
        <row r="97">
          <cell r="EJ97">
            <v>46090.400000000001</v>
          </cell>
        </row>
        <row r="98">
          <cell r="EJ98">
            <v>46134.6</v>
          </cell>
        </row>
        <row r="99">
          <cell r="EJ99">
            <v>46182.8</v>
          </cell>
        </row>
        <row r="100">
          <cell r="EJ100">
            <v>46241</v>
          </cell>
        </row>
        <row r="101">
          <cell r="EJ101">
            <v>46326.2</v>
          </cell>
        </row>
        <row r="102">
          <cell r="EJ102">
            <v>46435.4</v>
          </cell>
        </row>
        <row r="103">
          <cell r="EJ103">
            <v>46522.8</v>
          </cell>
        </row>
        <row r="104">
          <cell r="EJ104">
            <v>46599</v>
          </cell>
        </row>
        <row r="105">
          <cell r="EJ105">
            <v>46702.400000000001</v>
          </cell>
        </row>
        <row r="106">
          <cell r="EJ106">
            <v>46793.599999999999</v>
          </cell>
        </row>
        <row r="107">
          <cell r="EJ107">
            <v>46874.400000000001</v>
          </cell>
        </row>
        <row r="108">
          <cell r="EJ108">
            <v>46895.8</v>
          </cell>
        </row>
        <row r="109">
          <cell r="EJ109">
            <v>46903.7</v>
          </cell>
        </row>
        <row r="110">
          <cell r="EJ110">
            <v>46910.1</v>
          </cell>
        </row>
        <row r="111">
          <cell r="EJ111">
            <v>46877.599999999999</v>
          </cell>
        </row>
        <row r="112">
          <cell r="EJ112">
            <v>46816</v>
          </cell>
        </row>
        <row r="113">
          <cell r="EJ113">
            <v>46799.3</v>
          </cell>
        </row>
        <row r="114">
          <cell r="EJ114">
            <v>46849</v>
          </cell>
        </row>
        <row r="115">
          <cell r="EJ115">
            <v>46876.800000000003</v>
          </cell>
        </row>
        <row r="116">
          <cell r="EJ116">
            <v>46934.5</v>
          </cell>
        </row>
        <row r="117">
          <cell r="EJ117">
            <v>47054.1</v>
          </cell>
        </row>
        <row r="118">
          <cell r="EJ118">
            <v>47207</v>
          </cell>
        </row>
        <row r="119">
          <cell r="EJ119">
            <v>47350.7</v>
          </cell>
        </row>
        <row r="120">
          <cell r="EJ120">
            <v>47487.9</v>
          </cell>
        </row>
        <row r="121">
          <cell r="EJ121">
            <v>47669.9</v>
          </cell>
        </row>
        <row r="122">
          <cell r="EJ122">
            <v>47848.4</v>
          </cell>
        </row>
        <row r="123">
          <cell r="EJ123">
            <v>47968.021000000001</v>
          </cell>
        </row>
        <row r="124">
          <cell r="EJ124">
            <v>48039.973031500005</v>
          </cell>
        </row>
        <row r="125">
          <cell r="EJ125">
            <v>48160.072964078754</v>
          </cell>
        </row>
        <row r="126">
          <cell r="EJ126">
            <v>48280.473146488948</v>
          </cell>
        </row>
        <row r="127">
          <cell r="EJ127">
            <v>48377.034092781927</v>
          </cell>
        </row>
        <row r="128">
          <cell r="EJ128">
            <v>48473.788160967488</v>
          </cell>
        </row>
        <row r="129">
          <cell r="EJ129">
            <v>48522.261949128449</v>
          </cell>
        </row>
        <row r="130">
          <cell r="EJ130">
            <v>48570.784211077575</v>
          </cell>
        </row>
      </sheetData>
      <sheetData sheetId="33"/>
      <sheetData sheetId="34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CE41-3191-498D-932B-E14A8189FF47}">
  <dimension ref="A1:G19"/>
  <sheetViews>
    <sheetView workbookViewId="0">
      <selection activeCell="E11" sqref="E11"/>
    </sheetView>
  </sheetViews>
  <sheetFormatPr baseColWidth="10" defaultRowHeight="15" x14ac:dyDescent="0.25"/>
  <cols>
    <col min="1" max="1" width="13.140625" bestFit="1" customWidth="1"/>
    <col min="2" max="2" width="20.28515625" bestFit="1" customWidth="1"/>
    <col min="3" max="3" width="35.28515625" bestFit="1" customWidth="1"/>
    <col min="5" max="5" width="24.140625" bestFit="1" customWidth="1"/>
    <col min="6" max="6" width="24.140625" customWidth="1"/>
  </cols>
  <sheetData>
    <row r="1" spans="1:7" x14ac:dyDescent="0.25">
      <c r="A1" s="6" t="s">
        <v>23</v>
      </c>
      <c r="B1" t="s">
        <v>19</v>
      </c>
      <c r="C1" t="s">
        <v>20</v>
      </c>
      <c r="D1" t="s">
        <v>21</v>
      </c>
      <c r="E1" t="s">
        <v>22</v>
      </c>
    </row>
    <row r="2" spans="1:7" x14ac:dyDescent="0.25">
      <c r="A2" t="s">
        <v>1</v>
      </c>
      <c r="D2" t="s">
        <v>34</v>
      </c>
      <c r="E2" t="s">
        <v>31</v>
      </c>
    </row>
    <row r="3" spans="1:7" x14ac:dyDescent="0.25">
      <c r="A3" t="s">
        <v>29</v>
      </c>
      <c r="D3" t="s">
        <v>34</v>
      </c>
      <c r="E3" t="s">
        <v>31</v>
      </c>
    </row>
    <row r="4" spans="1:7" x14ac:dyDescent="0.25">
      <c r="A4" t="s">
        <v>16</v>
      </c>
      <c r="D4" t="s">
        <v>34</v>
      </c>
      <c r="E4" t="s">
        <v>31</v>
      </c>
    </row>
    <row r="5" spans="1:7" x14ac:dyDescent="0.25">
      <c r="A5" t="s">
        <v>17</v>
      </c>
      <c r="D5" t="s">
        <v>34</v>
      </c>
      <c r="E5" t="s">
        <v>31</v>
      </c>
    </row>
    <row r="6" spans="1:7" x14ac:dyDescent="0.25">
      <c r="A6" t="s">
        <v>28</v>
      </c>
      <c r="D6" t="s">
        <v>34</v>
      </c>
      <c r="E6" t="s">
        <v>31</v>
      </c>
    </row>
    <row r="8" spans="1:7" x14ac:dyDescent="0.25">
      <c r="A8" t="s">
        <v>3</v>
      </c>
      <c r="D8" t="s">
        <v>34</v>
      </c>
      <c r="E8" t="s">
        <v>31</v>
      </c>
    </row>
    <row r="9" spans="1:7" x14ac:dyDescent="0.25">
      <c r="A9" t="s">
        <v>4</v>
      </c>
      <c r="D9" t="s">
        <v>34</v>
      </c>
      <c r="E9" t="s">
        <v>31</v>
      </c>
    </row>
    <row r="10" spans="1:7" x14ac:dyDescent="0.25">
      <c r="A10" t="s">
        <v>5</v>
      </c>
      <c r="D10" t="s">
        <v>34</v>
      </c>
      <c r="E10" t="s">
        <v>31</v>
      </c>
    </row>
    <row r="11" spans="1:7" x14ac:dyDescent="0.25">
      <c r="A11" t="s">
        <v>6</v>
      </c>
      <c r="D11" t="s">
        <v>35</v>
      </c>
    </row>
    <row r="12" spans="1:7" x14ac:dyDescent="0.25">
      <c r="A12" t="s">
        <v>27</v>
      </c>
      <c r="D12" t="s">
        <v>36</v>
      </c>
      <c r="E12" t="s">
        <v>31</v>
      </c>
    </row>
    <row r="13" spans="1:7" x14ac:dyDescent="0.25">
      <c r="A13" t="s">
        <v>7</v>
      </c>
    </row>
    <row r="14" spans="1:7" x14ac:dyDescent="0.25">
      <c r="A14" t="s">
        <v>8</v>
      </c>
      <c r="D14" t="s">
        <v>24</v>
      </c>
      <c r="E14" t="s">
        <v>38</v>
      </c>
      <c r="G14" s="5"/>
    </row>
    <row r="15" spans="1:7" x14ac:dyDescent="0.25">
      <c r="A15" t="s">
        <v>11</v>
      </c>
      <c r="D15" t="s">
        <v>25</v>
      </c>
      <c r="E15" t="s">
        <v>32</v>
      </c>
      <c r="G15" s="5"/>
    </row>
    <row r="16" spans="1:7" x14ac:dyDescent="0.25">
      <c r="A16" t="s">
        <v>9</v>
      </c>
      <c r="D16" t="s">
        <v>30</v>
      </c>
      <c r="E16" t="s">
        <v>31</v>
      </c>
    </row>
    <row r="17" spans="1:6" x14ac:dyDescent="0.25">
      <c r="A17" t="s">
        <v>10</v>
      </c>
      <c r="D17" t="s">
        <v>39</v>
      </c>
    </row>
    <row r="18" spans="1:6" x14ac:dyDescent="0.25">
      <c r="A18" t="s">
        <v>12</v>
      </c>
      <c r="D18" t="s">
        <v>30</v>
      </c>
      <c r="E18" t="s">
        <v>31</v>
      </c>
    </row>
    <row r="19" spans="1:6" x14ac:dyDescent="0.25">
      <c r="A19" t="s">
        <v>15</v>
      </c>
      <c r="D19" t="s">
        <v>37</v>
      </c>
      <c r="E19" t="s">
        <v>31</v>
      </c>
      <c r="F19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53F3-07BC-4398-A683-D2300526EB2B}">
  <dimension ref="A1:S77"/>
  <sheetViews>
    <sheetView tabSelected="1" workbookViewId="0">
      <pane xSplit="1" ySplit="1" topLeftCell="B54" activePane="bottomRight" state="frozen"/>
      <selection pane="topRight" activeCell="B1" sqref="B1"/>
      <selection pane="bottomLeft" activeCell="A2" sqref="A2"/>
      <selection pane="bottomRight" activeCell="L63" sqref="L63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26</v>
      </c>
      <c r="H1" t="s">
        <v>3</v>
      </c>
      <c r="I1" t="s">
        <v>4</v>
      </c>
      <c r="J1" t="s">
        <v>5</v>
      </c>
      <c r="K1" t="s">
        <v>6</v>
      </c>
      <c r="L1" t="s">
        <v>27</v>
      </c>
      <c r="M1" t="s">
        <v>7</v>
      </c>
      <c r="N1" t="s">
        <v>8</v>
      </c>
      <c r="O1" t="s">
        <v>11</v>
      </c>
      <c r="P1" t="s">
        <v>9</v>
      </c>
      <c r="Q1" t="s">
        <v>10</v>
      </c>
      <c r="R1" t="s">
        <v>12</v>
      </c>
      <c r="S1" t="s">
        <v>15</v>
      </c>
    </row>
    <row r="2" spans="1:19" x14ac:dyDescent="0.25">
      <c r="A2" s="1">
        <v>39142</v>
      </c>
      <c r="B2" s="4">
        <f>[1]Données!J55</f>
        <v>274172.5</v>
      </c>
      <c r="C2" s="4">
        <f>[1]Données!K55</f>
        <v>160694</v>
      </c>
      <c r="D2" s="4">
        <f>[1]Données!M55</f>
        <v>77776.2</v>
      </c>
      <c r="E2" s="4">
        <f>[1]Données!AJ55</f>
        <v>14942.572159999998</v>
      </c>
      <c r="F2" s="4">
        <f>D2-E2</f>
        <v>62833.627840000001</v>
      </c>
      <c r="G2" s="4"/>
      <c r="H2" s="4">
        <f>[1]Données!L55</f>
        <v>49244.9</v>
      </c>
      <c r="I2" s="4">
        <f>[1]Données!N55</f>
        <v>71157</v>
      </c>
      <c r="J2" s="4">
        <f>[1]Données!O55</f>
        <v>87067.6</v>
      </c>
      <c r="K2" s="4">
        <f>[1]Données!P55</f>
        <v>2367.9999999999709</v>
      </c>
      <c r="L2" s="3">
        <f>[2]PRIX!B153</f>
        <v>85.385941713813395</v>
      </c>
      <c r="M2" s="4">
        <f>[2]PRIX!G153</f>
        <v>86.933333333333337</v>
      </c>
      <c r="N2" s="3">
        <f>[1]Données!R55</f>
        <v>8.1999999999999993</v>
      </c>
      <c r="O2" s="4">
        <f>[2]REVENUS!W38</f>
        <v>21000.2</v>
      </c>
      <c r="P2" s="4">
        <f>'[2]COMPTE SIMPL'!U39</f>
        <v>163.48947999999999</v>
      </c>
      <c r="Q2" s="3">
        <f>'[2]COMPTE SIMPL'!AY39</f>
        <v>8.7965782263176688</v>
      </c>
      <c r="R2" s="4">
        <f>'[2]COMPTE SIMPL'!E39</f>
        <v>123.464</v>
      </c>
      <c r="S2" s="4">
        <f>'[3]CRE vol'!EJ55</f>
        <v>44549.7</v>
      </c>
    </row>
    <row r="3" spans="1:19" x14ac:dyDescent="0.25">
      <c r="A3" s="1">
        <v>39234</v>
      </c>
      <c r="B3" s="4">
        <f>[1]Données!J56</f>
        <v>276578.7</v>
      </c>
      <c r="C3" s="4">
        <f>[1]Données!K56</f>
        <v>162011.1</v>
      </c>
      <c r="D3" s="4">
        <f>[1]Données!M56</f>
        <v>78283.8</v>
      </c>
      <c r="E3" s="4">
        <f>[1]Données!AJ56</f>
        <v>14977.714303999999</v>
      </c>
      <c r="F3" s="4">
        <f t="shared" ref="F3:F66" si="0">D3-E3</f>
        <v>63306.085696000002</v>
      </c>
      <c r="G3" s="4"/>
      <c r="H3" s="4">
        <f>[1]Données!L56</f>
        <v>49973.8</v>
      </c>
      <c r="I3" s="4">
        <f>[1]Données!N56</f>
        <v>71801.3</v>
      </c>
      <c r="J3" s="4">
        <f>[1]Données!O56</f>
        <v>87849.8</v>
      </c>
      <c r="K3" s="4">
        <f>[1]Données!P56</f>
        <v>2358.5000000000291</v>
      </c>
      <c r="L3" s="3">
        <f>[2]PRIX!B154</f>
        <v>86.157219066673065</v>
      </c>
      <c r="M3" s="4">
        <f>[2]PRIX!G154</f>
        <v>88.863333333333344</v>
      </c>
      <c r="N3" s="3">
        <f>[1]Données!R56</f>
        <v>8</v>
      </c>
      <c r="O3" s="4">
        <f>[2]REVENUS!W39</f>
        <v>21108.400000000001</v>
      </c>
      <c r="P3" s="4">
        <f>'[2]COMPTE SIMPL'!U40</f>
        <v>163.54522</v>
      </c>
      <c r="Q3" s="3">
        <f>'[2]COMPTE SIMPL'!AY40</f>
        <v>7.2647919639596035</v>
      </c>
      <c r="R3" s="4">
        <f>'[2]COMPTE SIMPL'!E40</f>
        <v>125.931</v>
      </c>
      <c r="S3" s="4">
        <f>'[3]CRE vol'!EJ56</f>
        <v>44758.8</v>
      </c>
    </row>
    <row r="4" spans="1:19" x14ac:dyDescent="0.25">
      <c r="A4" s="1">
        <v>39326</v>
      </c>
      <c r="B4" s="4">
        <f>[1]Données!J57</f>
        <v>278651.59999999998</v>
      </c>
      <c r="C4" s="4">
        <f>[1]Données!K57</f>
        <v>163101.9</v>
      </c>
      <c r="D4" s="4">
        <f>[1]Données!M57</f>
        <v>78216.3</v>
      </c>
      <c r="E4" s="4">
        <f>[1]Données!AJ57</f>
        <v>14929.009088000001</v>
      </c>
      <c r="F4" s="4">
        <f t="shared" si="0"/>
        <v>63287.290912000004</v>
      </c>
      <c r="G4" s="4"/>
      <c r="H4" s="4">
        <f>[1]Données!L57</f>
        <v>50807.7</v>
      </c>
      <c r="I4" s="4">
        <f>[1]Données!N57</f>
        <v>73036</v>
      </c>
      <c r="J4" s="4">
        <f>[1]Données!O57</f>
        <v>88948.4</v>
      </c>
      <c r="K4" s="4">
        <f>[1]Données!P57</f>
        <v>2438.1000000000058</v>
      </c>
      <c r="L4" s="3">
        <f>[2]PRIX!B155</f>
        <v>86.641316383293812</v>
      </c>
      <c r="M4" s="4">
        <f>[2]PRIX!G155</f>
        <v>88.626666666666665</v>
      </c>
      <c r="N4" s="3">
        <f>[1]Données!R57</f>
        <v>8.1999999999999993</v>
      </c>
      <c r="O4" s="4">
        <f>[2]REVENUS!W40</f>
        <v>21240.799999999999</v>
      </c>
      <c r="P4" s="4">
        <f>'[2]COMPTE SIMPL'!U41</f>
        <v>162.11698999999999</v>
      </c>
      <c r="Q4" s="3">
        <f>'[2]COMPTE SIMPL'!AY41</f>
        <v>5.3004870124963501</v>
      </c>
      <c r="R4" s="4">
        <f>'[2]COMPTE SIMPL'!E41</f>
        <v>128.20599999999999</v>
      </c>
      <c r="S4" s="4">
        <f>'[3]CRE vol'!EJ57</f>
        <v>44975.199999999997</v>
      </c>
    </row>
    <row r="5" spans="1:19" x14ac:dyDescent="0.25">
      <c r="A5" s="1">
        <v>39417</v>
      </c>
      <c r="B5" s="4">
        <f>[1]Données!J58</f>
        <v>280353.59999999998</v>
      </c>
      <c r="C5" s="4">
        <f>[1]Données!K58</f>
        <v>164591.6</v>
      </c>
      <c r="D5" s="4">
        <f>[1]Données!M58</f>
        <v>78586.8</v>
      </c>
      <c r="E5" s="4">
        <f>[1]Données!AJ58</f>
        <v>14862.241151999999</v>
      </c>
      <c r="F5" s="4">
        <f t="shared" si="0"/>
        <v>63724.558848000001</v>
      </c>
      <c r="G5" s="4"/>
      <c r="H5" s="4">
        <f>[1]Données!L58</f>
        <v>51141.8</v>
      </c>
      <c r="I5" s="4">
        <f>[1]Données!N58</f>
        <v>72757.5</v>
      </c>
      <c r="J5" s="4">
        <f>[1]Données!O58</f>
        <v>89112.5</v>
      </c>
      <c r="K5" s="4">
        <f>[1]Données!P58</f>
        <v>2388.3999999999942</v>
      </c>
      <c r="L5" s="3">
        <f>[2]PRIX!B156</f>
        <v>87.954107381635509</v>
      </c>
      <c r="M5" s="4">
        <f>[2]PRIX!G156</f>
        <v>90.563333333333333</v>
      </c>
      <c r="N5" s="3">
        <f>[1]Données!R58</f>
        <v>8.6</v>
      </c>
      <c r="O5" s="4">
        <f>[2]REVENUS!W41</f>
        <v>21342.6</v>
      </c>
      <c r="P5" s="4">
        <f>'[2]COMPTE SIMPL'!U42</f>
        <v>171.58530999999999</v>
      </c>
      <c r="Q5" s="3">
        <f>'[2]COMPTE SIMPL'!AY42</f>
        <v>8.3231542373878309</v>
      </c>
      <c r="R5" s="4">
        <f>'[2]COMPTE SIMPL'!E42</f>
        <v>130.82300000000001</v>
      </c>
      <c r="S5" s="4">
        <f>'[3]CRE vol'!EJ58</f>
        <v>45210.9</v>
      </c>
    </row>
    <row r="6" spans="1:19" x14ac:dyDescent="0.25">
      <c r="A6" s="1">
        <v>39508</v>
      </c>
      <c r="B6" s="4">
        <f>[1]Données!J59</f>
        <v>280877.5</v>
      </c>
      <c r="C6" s="4">
        <f>[1]Données!K59</f>
        <v>164543.5</v>
      </c>
      <c r="D6" s="4">
        <f>[1]Données!M59</f>
        <v>77607.3</v>
      </c>
      <c r="E6" s="4">
        <f>[1]Données!AJ59</f>
        <v>14561.352575999999</v>
      </c>
      <c r="F6" s="4">
        <f t="shared" si="0"/>
        <v>63045.947424000005</v>
      </c>
      <c r="G6" s="4"/>
      <c r="H6" s="4">
        <f>[1]Données!L59</f>
        <v>51975.7</v>
      </c>
      <c r="I6" s="4">
        <f>[1]Données!N59</f>
        <v>73397.100000000006</v>
      </c>
      <c r="J6" s="4">
        <f>[1]Données!O59</f>
        <v>88729.1</v>
      </c>
      <c r="K6" s="4">
        <f>[1]Données!P59</f>
        <v>2083</v>
      </c>
      <c r="L6" s="3">
        <f>[2]PRIX!B157</f>
        <v>88.927512548164614</v>
      </c>
      <c r="M6" s="4">
        <f>[2]PRIX!G157</f>
        <v>90.820000000000007</v>
      </c>
      <c r="N6" s="3">
        <f>[1]Données!R59</f>
        <v>9.3000000000000007</v>
      </c>
      <c r="O6" s="4">
        <f>[2]REVENUS!W42</f>
        <v>21544.3</v>
      </c>
      <c r="P6" s="4">
        <f>'[2]COMPTE SIMPL'!U43</f>
        <v>171.71292999999994</v>
      </c>
      <c r="Q6" s="3">
        <f>'[2]COMPTE SIMPL'!AY43</f>
        <v>7.4018479563536577</v>
      </c>
      <c r="R6" s="4">
        <f>'[2]COMPTE SIMPL'!E43</f>
        <v>135.34899999999999</v>
      </c>
      <c r="S6" s="4">
        <f>'[3]CRE vol'!EJ59</f>
        <v>45367.7</v>
      </c>
    </row>
    <row r="7" spans="1:19" x14ac:dyDescent="0.25">
      <c r="A7" s="1">
        <v>39600</v>
      </c>
      <c r="B7" s="4">
        <f>[1]Données!J60</f>
        <v>280976.59999999998</v>
      </c>
      <c r="C7" s="4">
        <f>[1]Données!K60</f>
        <v>163031.9</v>
      </c>
      <c r="D7" s="4">
        <f>[1]Données!M60</f>
        <v>76671.899999999994</v>
      </c>
      <c r="E7" s="4">
        <f>[1]Données!AJ60</f>
        <v>14004.956672</v>
      </c>
      <c r="F7" s="4">
        <f t="shared" si="0"/>
        <v>62666.943327999994</v>
      </c>
      <c r="G7" s="4"/>
      <c r="H7" s="4">
        <f>[1]Données!L60</f>
        <v>52555</v>
      </c>
      <c r="I7" s="4">
        <f>[1]Données!N60</f>
        <v>72097.399999999994</v>
      </c>
      <c r="J7" s="4">
        <f>[1]Données!O60</f>
        <v>85791.3</v>
      </c>
      <c r="K7" s="4">
        <f>[1]Données!P60</f>
        <v>2411.7000000000116</v>
      </c>
      <c r="L7" s="3">
        <f>[2]PRIX!B158</f>
        <v>89.488363822647656</v>
      </c>
      <c r="M7" s="4">
        <f>[2]PRIX!G158</f>
        <v>93.006666666666661</v>
      </c>
      <c r="N7" s="3">
        <f>[1]Données!R60</f>
        <v>10.4</v>
      </c>
      <c r="O7" s="4">
        <f>[2]REVENUS!W43</f>
        <v>21341.7</v>
      </c>
      <c r="P7" s="4">
        <f>'[2]COMPTE SIMPL'!U44</f>
        <v>171.16095000000001</v>
      </c>
      <c r="Q7" s="3">
        <f>'[2]COMPTE SIMPL'!AY44</f>
        <v>7.3830800775527523</v>
      </c>
      <c r="R7" s="4">
        <f>'[2]COMPTE SIMPL'!E44</f>
        <v>136.316</v>
      </c>
      <c r="S7" s="4">
        <f>'[3]CRE vol'!EJ60</f>
        <v>45521</v>
      </c>
    </row>
    <row r="8" spans="1:19" x14ac:dyDescent="0.25">
      <c r="A8" s="1">
        <v>39692</v>
      </c>
      <c r="B8" s="4">
        <f>[1]Données!J61</f>
        <v>280381.90000000002</v>
      </c>
      <c r="C8" s="4">
        <f>[1]Données!K61</f>
        <v>160615</v>
      </c>
      <c r="D8" s="4">
        <f>[1]Données!M61</f>
        <v>74383.399999999994</v>
      </c>
      <c r="E8" s="4">
        <f>[1]Données!AJ61</f>
        <v>13403.660479999999</v>
      </c>
      <c r="F8" s="4">
        <f t="shared" si="0"/>
        <v>60979.739519999996</v>
      </c>
      <c r="G8" s="4"/>
      <c r="H8" s="4">
        <f>[1]Données!L61</f>
        <v>52949.7</v>
      </c>
      <c r="I8" s="4">
        <f>[1]Données!N61</f>
        <v>72946.899999999994</v>
      </c>
      <c r="J8" s="4">
        <f>[1]Données!O61</f>
        <v>82618.8</v>
      </c>
      <c r="K8" s="4">
        <f>[1]Données!P61</f>
        <v>2105.7000000000698</v>
      </c>
      <c r="L8" s="3">
        <f>[2]PRIX!B159</f>
        <v>90.094255272137346</v>
      </c>
      <c r="M8" s="4">
        <f>[2]PRIX!G159</f>
        <v>93.013333333333335</v>
      </c>
      <c r="N8" s="3">
        <f>[1]Données!R61</f>
        <v>11.5</v>
      </c>
      <c r="O8" s="4">
        <f>[2]REVENUS!W44</f>
        <v>21131.599999999999</v>
      </c>
      <c r="P8" s="4">
        <f>'[2]COMPTE SIMPL'!U45</f>
        <v>175.00446000000002</v>
      </c>
      <c r="Q8" s="3">
        <f>'[2]COMPTE SIMPL'!AY45</f>
        <v>10.169717960330857</v>
      </c>
      <c r="R8" s="4">
        <f>'[2]COMPTE SIMPL'!E45</f>
        <v>137.19999999999999</v>
      </c>
      <c r="S8" s="4">
        <f>'[3]CRE vol'!EJ61</f>
        <v>45665.4</v>
      </c>
    </row>
    <row r="9" spans="1:19" x14ac:dyDescent="0.25">
      <c r="A9" s="1">
        <v>39783</v>
      </c>
      <c r="B9" s="4">
        <f>[1]Données!J62</f>
        <v>276034</v>
      </c>
      <c r="C9" s="4">
        <f>[1]Données!K62</f>
        <v>158069.9</v>
      </c>
      <c r="D9" s="4">
        <f>[1]Données!M62</f>
        <v>71068.399999999994</v>
      </c>
      <c r="E9" s="4">
        <f>[1]Données!AJ62</f>
        <v>12643.262719999999</v>
      </c>
      <c r="F9" s="4">
        <f t="shared" si="0"/>
        <v>58425.137279999995</v>
      </c>
      <c r="G9" s="4"/>
      <c r="H9" s="4">
        <f>[1]Données!L62</f>
        <v>53646.400000000001</v>
      </c>
      <c r="I9" s="4">
        <f>[1]Données!N62</f>
        <v>67733.3</v>
      </c>
      <c r="J9" s="4">
        <f>[1]Données!O62</f>
        <v>76397</v>
      </c>
      <c r="K9" s="4">
        <f>[1]Données!P62</f>
        <v>1913.0000000000291</v>
      </c>
      <c r="L9" s="3">
        <f>[2]PRIX!B160</f>
        <v>89.980524488343207</v>
      </c>
      <c r="M9" s="4">
        <f>[2]PRIX!G160</f>
        <v>92.81</v>
      </c>
      <c r="N9" s="3">
        <f>[1]Données!R62</f>
        <v>13.8</v>
      </c>
      <c r="O9" s="4">
        <f>[2]REVENUS!W45</f>
        <v>20766.8</v>
      </c>
      <c r="P9" s="4">
        <f>'[2]COMPTE SIMPL'!U46</f>
        <v>177.60065</v>
      </c>
      <c r="Q9" s="3">
        <f>'[2]COMPTE SIMPL'!AY46</f>
        <v>13.032975949130803</v>
      </c>
      <c r="R9" s="4">
        <f>'[2]COMPTE SIMPL'!E46</f>
        <v>135.261</v>
      </c>
      <c r="S9" s="4">
        <f>'[3]CRE vol'!EJ62</f>
        <v>45803.1</v>
      </c>
    </row>
    <row r="10" spans="1:19" x14ac:dyDescent="0.25">
      <c r="A10" s="1">
        <v>39873</v>
      </c>
      <c r="B10" s="4">
        <f>[1]Données!J63</f>
        <v>268652.09999999998</v>
      </c>
      <c r="C10" s="4">
        <f>[1]Données!K63</f>
        <v>156450.1</v>
      </c>
      <c r="D10" s="4">
        <f>[1]Données!M63</f>
        <v>65580.600000000006</v>
      </c>
      <c r="E10" s="4">
        <f>[1]Données!AJ63</f>
        <v>11841.342079999999</v>
      </c>
      <c r="F10" s="4">
        <f t="shared" si="0"/>
        <v>53739.257920000004</v>
      </c>
      <c r="G10" s="4"/>
      <c r="H10" s="4">
        <f>[1]Données!L63</f>
        <v>54125.3</v>
      </c>
      <c r="I10" s="4">
        <f>[1]Données!N63</f>
        <v>61159.6</v>
      </c>
      <c r="J10" s="4">
        <f>[1]Données!O63</f>
        <v>65695.600000000006</v>
      </c>
      <c r="K10" s="4">
        <f>[1]Données!P63</f>
        <v>-2967.9000000000524</v>
      </c>
      <c r="L10" s="3">
        <f>[2]PRIX!B161</f>
        <v>88.992513552770433</v>
      </c>
      <c r="M10" s="4">
        <f>[2]PRIX!G161</f>
        <v>91.25333333333333</v>
      </c>
      <c r="N10" s="3">
        <f>[1]Données!R63</f>
        <v>16.7</v>
      </c>
      <c r="O10" s="4">
        <f>[2]REVENUS!W46</f>
        <v>20195.3</v>
      </c>
      <c r="P10" s="4">
        <f>'[2]COMPTE SIMPL'!U47</f>
        <v>170.59200999999999</v>
      </c>
      <c r="Q10" s="3">
        <f>'[2]COMPTE SIMPL'!AY47</f>
        <v>11.369823240842289</v>
      </c>
      <c r="R10" s="4">
        <f>'[2]COMPTE SIMPL'!E47</f>
        <v>133.51499999999999</v>
      </c>
      <c r="S10" s="4">
        <f>'[3]CRE vol'!EJ63</f>
        <v>45870.3</v>
      </c>
    </row>
    <row r="11" spans="1:19" x14ac:dyDescent="0.25">
      <c r="A11" s="1">
        <v>39965</v>
      </c>
      <c r="B11" s="4">
        <f>[1]Données!J64</f>
        <v>268828.7</v>
      </c>
      <c r="C11" s="4">
        <f>[1]Données!K64</f>
        <v>155136.70000000001</v>
      </c>
      <c r="D11" s="4">
        <f>[1]Données!M64</f>
        <v>61114.2</v>
      </c>
      <c r="E11" s="4">
        <f>[1]Données!AJ64</f>
        <v>10905.564928000002</v>
      </c>
      <c r="F11" s="4">
        <f t="shared" si="0"/>
        <v>50208.635071999997</v>
      </c>
      <c r="G11" s="4"/>
      <c r="H11" s="4">
        <f>[1]Données!L64</f>
        <v>54593.9</v>
      </c>
      <c r="I11" s="4">
        <f>[1]Données!N64</f>
        <v>62623.6</v>
      </c>
      <c r="J11" s="4">
        <f>[1]Données!O64</f>
        <v>66433.5</v>
      </c>
      <c r="K11" s="4">
        <f>[1]Données!P64</f>
        <v>1793.8000000000175</v>
      </c>
      <c r="L11" s="3">
        <f>[2]PRIX!B162</f>
        <v>88.559075628234083</v>
      </c>
      <c r="M11" s="4">
        <f>[2]PRIX!G162</f>
        <v>92.38666666666667</v>
      </c>
      <c r="N11" s="3">
        <f>[1]Données!R64</f>
        <v>17.899999999999999</v>
      </c>
      <c r="O11" s="4">
        <f>[2]REVENUS!W47</f>
        <v>19890.099999999999</v>
      </c>
      <c r="P11" s="4">
        <f>'[2]COMPTE SIMPL'!U48</f>
        <v>173.79144000000002</v>
      </c>
      <c r="Q11" s="3">
        <f>'[2]COMPTE SIMPL'!AY48</f>
        <v>14.170686427363739</v>
      </c>
      <c r="R11" s="4">
        <f>'[2]COMPTE SIMPL'!E48</f>
        <v>132.20699999999999</v>
      </c>
      <c r="S11" s="4">
        <f>'[3]CRE vol'!EJ64</f>
        <v>45932.800000000003</v>
      </c>
    </row>
    <row r="12" spans="1:19" x14ac:dyDescent="0.25">
      <c r="A12" s="1">
        <v>40057</v>
      </c>
      <c r="B12" s="4">
        <f>[1]Données!J65</f>
        <v>269358.2</v>
      </c>
      <c r="C12" s="4">
        <f>[1]Données!K65</f>
        <v>155902.9</v>
      </c>
      <c r="D12" s="4">
        <f>[1]Données!M65</f>
        <v>61151</v>
      </c>
      <c r="E12" s="4">
        <f>[1]Données!AJ65</f>
        <v>10518.124928000001</v>
      </c>
      <c r="F12" s="4">
        <f t="shared" si="0"/>
        <v>50632.875071999995</v>
      </c>
      <c r="G12" s="4"/>
      <c r="H12" s="4">
        <f>[1]Données!L65</f>
        <v>55147.6</v>
      </c>
      <c r="I12" s="4">
        <f>[1]Données!N65</f>
        <v>65555.399999999994</v>
      </c>
      <c r="J12" s="4">
        <f>[1]Données!O65</f>
        <v>70252.3</v>
      </c>
      <c r="K12" s="4">
        <f>[1]Données!P65</f>
        <v>1853.5999999999767</v>
      </c>
      <c r="L12" s="3">
        <f>[2]PRIX!B163</f>
        <v>88.456555595569881</v>
      </c>
      <c r="M12" s="4">
        <f>[2]PRIX!G163</f>
        <v>92.089999999999989</v>
      </c>
      <c r="N12" s="3">
        <f>[1]Données!R65</f>
        <v>18.2</v>
      </c>
      <c r="O12" s="4">
        <f>[2]REVENUS!W48</f>
        <v>19708.3</v>
      </c>
      <c r="P12" s="4">
        <f>'[2]COMPTE SIMPL'!U49</f>
        <v>174.15063000000001</v>
      </c>
      <c r="Q12" s="3">
        <f>'[2]COMPTE SIMPL'!AY49</f>
        <v>14.036486689712252</v>
      </c>
      <c r="R12" s="4">
        <f>'[2]COMPTE SIMPL'!E49</f>
        <v>132.209</v>
      </c>
      <c r="S12" s="4">
        <f>'[3]CRE vol'!EJ65</f>
        <v>45994.7</v>
      </c>
    </row>
    <row r="13" spans="1:19" x14ac:dyDescent="0.25">
      <c r="A13" s="1">
        <v>40148</v>
      </c>
      <c r="B13" s="4">
        <f>[1]Données!J66</f>
        <v>269293.09999999998</v>
      </c>
      <c r="C13" s="4">
        <f>[1]Données!K66</f>
        <v>155964.79999999999</v>
      </c>
      <c r="D13" s="4">
        <f>[1]Données!M66</f>
        <v>60545.1</v>
      </c>
      <c r="E13" s="4">
        <f>[1]Données!AJ66</f>
        <v>10321.690176</v>
      </c>
      <c r="F13" s="4">
        <f t="shared" si="0"/>
        <v>50223.409824000002</v>
      </c>
      <c r="G13" s="4"/>
      <c r="H13" s="4">
        <f>[1]Données!L66</f>
        <v>55249.8</v>
      </c>
      <c r="I13" s="4">
        <f>[1]Données!N66</f>
        <v>65943.399999999994</v>
      </c>
      <c r="J13" s="4">
        <f>[1]Données!O66</f>
        <v>70110</v>
      </c>
      <c r="K13" s="4">
        <f>[1]Données!P66</f>
        <v>1699.9999999999418</v>
      </c>
      <c r="L13" s="3">
        <f>[2]PRIX!B164</f>
        <v>89.083673640579008</v>
      </c>
      <c r="M13" s="4">
        <f>[2]PRIX!G164</f>
        <v>93.036666666666676</v>
      </c>
      <c r="N13" s="3">
        <f>[1]Données!R66</f>
        <v>18.7</v>
      </c>
      <c r="O13" s="4">
        <f>[2]REVENUS!W49</f>
        <v>19616.3</v>
      </c>
      <c r="P13" s="4">
        <f>'[2]COMPTE SIMPL'!U50</f>
        <v>172.38295000000005</v>
      </c>
      <c r="Q13" s="3">
        <f>'[2]COMPTE SIMPL'!AY50</f>
        <v>12.513969624026045</v>
      </c>
      <c r="R13" s="4">
        <f>'[2]COMPTE SIMPL'!E50</f>
        <v>132.114</v>
      </c>
      <c r="S13" s="4">
        <f>'[3]CRE vol'!EJ66</f>
        <v>46060.3</v>
      </c>
    </row>
    <row r="14" spans="1:19" x14ac:dyDescent="0.25">
      <c r="A14" s="1">
        <v>40238</v>
      </c>
      <c r="B14" s="4">
        <f>[1]Données!J67</f>
        <v>269052.40000000002</v>
      </c>
      <c r="C14" s="4">
        <f>[1]Données!K67</f>
        <v>156892.79999999999</v>
      </c>
      <c r="D14" s="4">
        <f>[1]Données!M67</f>
        <v>59396.800000000003</v>
      </c>
      <c r="E14" s="4">
        <f>[1]Données!AJ67</f>
        <v>9716.3859840000005</v>
      </c>
      <c r="F14" s="4">
        <f t="shared" si="0"/>
        <v>49680.414016000002</v>
      </c>
      <c r="G14" s="4"/>
      <c r="H14" s="4">
        <f>[1]Données!L67</f>
        <v>55101.2</v>
      </c>
      <c r="I14" s="4">
        <f>[1]Données!N67</f>
        <v>66569.100000000006</v>
      </c>
      <c r="J14" s="4">
        <f>[1]Données!O67</f>
        <v>70397.3</v>
      </c>
      <c r="K14" s="4">
        <f>[1]Données!P67</f>
        <v>1489.7999999999884</v>
      </c>
      <c r="L14" s="3">
        <f>[2]PRIX!B165</f>
        <v>89.460644329674608</v>
      </c>
      <c r="M14" s="4">
        <f>[2]PRIX!G165</f>
        <v>92.410000000000011</v>
      </c>
      <c r="N14" s="3">
        <f>[1]Données!R67</f>
        <v>19.3</v>
      </c>
      <c r="O14" s="4">
        <f>[2]REVENUS!W50</f>
        <v>19607.099999999999</v>
      </c>
      <c r="P14" s="4">
        <f>'[2]COMPTE SIMPL'!U51</f>
        <v>174.36284000000001</v>
      </c>
      <c r="Q14" s="3">
        <f>'[2]COMPTE SIMPL'!AY51</f>
        <v>12.64423084643494</v>
      </c>
      <c r="R14" s="4">
        <f>'[2]COMPTE SIMPL'!E51</f>
        <v>132.22800000000001</v>
      </c>
      <c r="S14" s="4">
        <f>'[3]CRE vol'!EJ67</f>
        <v>46087.4</v>
      </c>
    </row>
    <row r="15" spans="1:19" x14ac:dyDescent="0.25">
      <c r="A15" s="1">
        <v>40330</v>
      </c>
      <c r="B15" s="4">
        <f>[1]Données!J68</f>
        <v>269384.7</v>
      </c>
      <c r="C15" s="4">
        <f>[1]Données!K68</f>
        <v>157420.9</v>
      </c>
      <c r="D15" s="4">
        <f>[1]Données!M68</f>
        <v>59488.9</v>
      </c>
      <c r="E15" s="4">
        <f>[1]Données!AJ68</f>
        <v>9701.5724160000009</v>
      </c>
      <c r="F15" s="4">
        <f t="shared" si="0"/>
        <v>49787.327583999999</v>
      </c>
      <c r="G15" s="4"/>
      <c r="H15" s="4">
        <f>[1]Données!L68</f>
        <v>55070</v>
      </c>
      <c r="I15" s="4">
        <f>[1]Données!N68</f>
        <v>68202.100000000006</v>
      </c>
      <c r="J15" s="4">
        <f>[1]Données!O68</f>
        <v>72372.399999999994</v>
      </c>
      <c r="K15" s="4">
        <f>[1]Données!P68</f>
        <v>1575.2000000000116</v>
      </c>
      <c r="L15" s="3">
        <f>[2]PRIX!B166</f>
        <v>90.07537523943418</v>
      </c>
      <c r="M15" s="4">
        <f>[2]PRIX!G166</f>
        <v>94.516666666666652</v>
      </c>
      <c r="N15" s="3">
        <f>[1]Données!R68</f>
        <v>20</v>
      </c>
      <c r="O15" s="4">
        <f>[2]REVENUS!W51</f>
        <v>19512.900000000001</v>
      </c>
      <c r="P15" s="4">
        <f>'[2]COMPTE SIMPL'!U52</f>
        <v>174.45435000000003</v>
      </c>
      <c r="Q15" s="3">
        <f>'[2]COMPTE SIMPL'!AY52</f>
        <v>11.799275856405973</v>
      </c>
      <c r="R15" s="4">
        <f>'[2]COMPTE SIMPL'!E52</f>
        <v>132.24299999999999</v>
      </c>
      <c r="S15" s="4">
        <f>'[3]CRE vol'!EJ68</f>
        <v>46122.2</v>
      </c>
    </row>
    <row r="16" spans="1:19" x14ac:dyDescent="0.25">
      <c r="A16" s="1">
        <v>40422</v>
      </c>
      <c r="B16" s="4">
        <f>[1]Données!J69</f>
        <v>269214.7</v>
      </c>
      <c r="C16" s="4">
        <f>[1]Données!K69</f>
        <v>155923.9</v>
      </c>
      <c r="D16" s="4">
        <f>[1]Données!M69</f>
        <v>58773.5</v>
      </c>
      <c r="E16" s="4">
        <f>[1]Données!AJ69</f>
        <v>9406.4339839999993</v>
      </c>
      <c r="F16" s="4">
        <f t="shared" si="0"/>
        <v>49367.066015999997</v>
      </c>
      <c r="G16" s="4"/>
      <c r="H16" s="4">
        <f>[1]Données!L69</f>
        <v>55229.9</v>
      </c>
      <c r="I16" s="4">
        <f>[1]Données!N69</f>
        <v>70400.399999999994</v>
      </c>
      <c r="J16" s="4">
        <f>[1]Données!O69</f>
        <v>72431.399999999994</v>
      </c>
      <c r="K16" s="4">
        <f>[1]Données!P69</f>
        <v>1318.3999999999651</v>
      </c>
      <c r="L16" s="3">
        <f>[2]PRIX!B167</f>
        <v>91.005408035203175</v>
      </c>
      <c r="M16" s="4">
        <f>[2]PRIX!G167</f>
        <v>93.966666666666683</v>
      </c>
      <c r="N16" s="3">
        <f>[1]Données!R69</f>
        <v>20</v>
      </c>
      <c r="O16" s="4">
        <f>[2]REVENUS!W52</f>
        <v>19476.8</v>
      </c>
      <c r="P16" s="4">
        <f>'[2]COMPTE SIMPL'!U53</f>
        <v>172.49114000000003</v>
      </c>
      <c r="Q16" s="3">
        <f>'[2]COMPTE SIMPL'!AY53</f>
        <v>10.743241652875618</v>
      </c>
      <c r="R16" s="4">
        <f>'[2]COMPTE SIMPL'!E53</f>
        <v>131.441</v>
      </c>
      <c r="S16" s="4">
        <f>'[3]CRE vol'!EJ69</f>
        <v>46164</v>
      </c>
    </row>
    <row r="17" spans="1:19" x14ac:dyDescent="0.25">
      <c r="A17" s="1">
        <v>40513</v>
      </c>
      <c r="B17" s="4">
        <f>[1]Données!J70</f>
        <v>269493.2</v>
      </c>
      <c r="C17" s="4">
        <f>[1]Données!K70</f>
        <v>156167.5</v>
      </c>
      <c r="D17" s="4">
        <f>[1]Données!M70</f>
        <v>57957.8</v>
      </c>
      <c r="E17" s="4">
        <f>[1]Données!AJ70</f>
        <v>9031.4241280000006</v>
      </c>
      <c r="F17" s="4">
        <f t="shared" si="0"/>
        <v>48926.375872000004</v>
      </c>
      <c r="G17" s="4"/>
      <c r="H17" s="4">
        <f>[1]Données!L70</f>
        <v>55248.9</v>
      </c>
      <c r="I17" s="4">
        <f>[1]Données!N70</f>
        <v>73031.399999999994</v>
      </c>
      <c r="J17" s="4">
        <f>[1]Données!O70</f>
        <v>74179.899999999994</v>
      </c>
      <c r="K17" s="4">
        <f>[1]Données!P70</f>
        <v>1267.4999999999709</v>
      </c>
      <c r="L17" s="3">
        <f>[2]PRIX!B168</f>
        <v>91.535653499288998</v>
      </c>
      <c r="M17" s="4">
        <f>[2]PRIX!G168</f>
        <v>95.40666666666668</v>
      </c>
      <c r="N17" s="3">
        <f>[1]Données!R70</f>
        <v>20.2</v>
      </c>
      <c r="O17" s="4">
        <f>[2]REVENUS!W53</f>
        <v>19426.8</v>
      </c>
      <c r="P17" s="4">
        <f>'[2]COMPTE SIMPL'!U54</f>
        <v>173.23862</v>
      </c>
      <c r="Q17" s="3">
        <f>'[2]COMPTE SIMPL'!AY54</f>
        <v>10.476659303797275</v>
      </c>
      <c r="R17" s="4">
        <f>'[2]COMPTE SIMPL'!E54</f>
        <v>130.90100000000001</v>
      </c>
      <c r="S17" s="4">
        <f>'[3]CRE vol'!EJ70</f>
        <v>46222.8</v>
      </c>
    </row>
    <row r="18" spans="1:19" x14ac:dyDescent="0.25">
      <c r="A18" s="1">
        <v>40603</v>
      </c>
      <c r="B18" s="4">
        <f>[1]Données!J71</f>
        <v>269280.8</v>
      </c>
      <c r="C18" s="4">
        <f>[1]Données!K71</f>
        <v>154629.5</v>
      </c>
      <c r="D18" s="4">
        <f>[1]Données!M71</f>
        <v>56039.8</v>
      </c>
      <c r="E18" s="4">
        <f>[1]Données!AJ71</f>
        <v>8655.5057919999999</v>
      </c>
      <c r="F18" s="4">
        <f t="shared" si="0"/>
        <v>47384.294208000007</v>
      </c>
      <c r="G18" s="4"/>
      <c r="H18" s="4">
        <f>[1]Données!L71</f>
        <v>55779.9</v>
      </c>
      <c r="I18" s="4">
        <f>[1]Données!N71</f>
        <v>75082.100000000006</v>
      </c>
      <c r="J18" s="4">
        <f>[1]Données!O71</f>
        <v>74042.100000000006</v>
      </c>
      <c r="K18" s="4">
        <f>[1]Données!P71</f>
        <v>1791.600000000064</v>
      </c>
      <c r="L18" s="3">
        <f>[2]PRIX!B169</f>
        <v>92.041717248546632</v>
      </c>
      <c r="M18" s="4">
        <f>[2]PRIX!G169</f>
        <v>95.410000000000011</v>
      </c>
      <c r="N18" s="3">
        <f>[1]Données!R71</f>
        <v>20.5</v>
      </c>
      <c r="O18" s="4">
        <f>[2]REVENUS!W54</f>
        <v>19227</v>
      </c>
      <c r="P18" s="4">
        <f>'[2]COMPTE SIMPL'!U55</f>
        <v>175.77810000000002</v>
      </c>
      <c r="Q18" s="3">
        <f>'[2]COMPTE SIMPL'!AY55</f>
        <v>12.126140855999701</v>
      </c>
      <c r="R18" s="4">
        <f>'[2]COMPTE SIMPL'!E55</f>
        <v>130.071</v>
      </c>
      <c r="S18" s="4">
        <f>'[3]CRE vol'!EJ71</f>
        <v>46247.5</v>
      </c>
    </row>
    <row r="19" spans="1:19" x14ac:dyDescent="0.25">
      <c r="A19" s="1">
        <v>40695</v>
      </c>
      <c r="B19" s="4">
        <f>[1]Données!J72</f>
        <v>268584.2</v>
      </c>
      <c r="C19" s="4">
        <f>[1]Données!K72</f>
        <v>153096.1</v>
      </c>
      <c r="D19" s="4">
        <f>[1]Données!M72</f>
        <v>54859.8</v>
      </c>
      <c r="E19" s="4">
        <f>[1]Données!AJ72</f>
        <v>8324.680128</v>
      </c>
      <c r="F19" s="4">
        <f t="shared" si="0"/>
        <v>46535.119872000003</v>
      </c>
      <c r="G19" s="4"/>
      <c r="H19" s="4">
        <f>[1]Données!L72</f>
        <v>55726.9</v>
      </c>
      <c r="I19" s="4">
        <f>[1]Données!N72</f>
        <v>75109.899999999994</v>
      </c>
      <c r="J19" s="4">
        <f>[1]Données!O72</f>
        <v>71694.399999999994</v>
      </c>
      <c r="K19" s="4">
        <f>[1]Données!P72</f>
        <v>1485.8999999999651</v>
      </c>
      <c r="L19" s="3">
        <f>[2]PRIX!B170</f>
        <v>92.659397277436625</v>
      </c>
      <c r="M19" s="4">
        <f>[2]PRIX!G170</f>
        <v>97.64</v>
      </c>
      <c r="N19" s="3">
        <f>[1]Données!R72</f>
        <v>20.8</v>
      </c>
      <c r="O19" s="4">
        <f>[2]REVENUS!W55</f>
        <v>19143.2</v>
      </c>
      <c r="P19" s="4">
        <f>'[2]COMPTE SIMPL'!U56</f>
        <v>175.97211999999996</v>
      </c>
      <c r="Q19" s="3">
        <f>'[2]COMPTE SIMPL'!AY56</f>
        <v>12.53216702736772</v>
      </c>
      <c r="R19" s="4">
        <f>'[2]COMPTE SIMPL'!E56</f>
        <v>129.26499999999999</v>
      </c>
      <c r="S19" s="4">
        <f>'[3]CRE vol'!EJ72</f>
        <v>46280</v>
      </c>
    </row>
    <row r="20" spans="1:19" x14ac:dyDescent="0.25">
      <c r="A20" s="1">
        <v>40787</v>
      </c>
      <c r="B20" s="4">
        <f>[1]Données!J73</f>
        <v>266945.40000000002</v>
      </c>
      <c r="C20" s="4">
        <f>[1]Données!K73</f>
        <v>152468.9</v>
      </c>
      <c r="D20" s="4">
        <f>[1]Données!M73</f>
        <v>54498.5</v>
      </c>
      <c r="E20" s="4">
        <f>[1]Données!AJ73</f>
        <v>8198.3907200000012</v>
      </c>
      <c r="F20" s="4">
        <f t="shared" si="0"/>
        <v>46300.109279999997</v>
      </c>
      <c r="G20" s="4"/>
      <c r="H20" s="4">
        <f>[1]Données!L73</f>
        <v>55414.5</v>
      </c>
      <c r="I20" s="4">
        <f>[1]Données!N73</f>
        <v>75221.3</v>
      </c>
      <c r="J20" s="4">
        <f>[1]Données!O73</f>
        <v>71870.3</v>
      </c>
      <c r="K20" s="4">
        <f>[1]Données!P73</f>
        <v>1212.5000000000291</v>
      </c>
      <c r="L20" s="3">
        <f>[2]PRIX!B171</f>
        <v>92.870266950342582</v>
      </c>
      <c r="M20" s="4">
        <f>[2]PRIX!G171</f>
        <v>96.703333333333333</v>
      </c>
      <c r="N20" s="3">
        <f>[1]Données!R73</f>
        <v>21.7</v>
      </c>
      <c r="O20" s="4">
        <f>[2]REVENUS!W56</f>
        <v>18912.099999999999</v>
      </c>
      <c r="P20" s="4">
        <f>'[2]COMPTE SIMPL'!U57</f>
        <v>175.00399999999999</v>
      </c>
      <c r="Q20" s="3">
        <f>'[2]COMPTE SIMPL'!AY57</f>
        <v>12.215149368014453</v>
      </c>
      <c r="R20" s="4">
        <f>'[2]COMPTE SIMPL'!E57</f>
        <v>127.599</v>
      </c>
      <c r="S20" s="4">
        <f>'[3]CRE vol'!EJ73</f>
        <v>46323.9</v>
      </c>
    </row>
    <row r="21" spans="1:19" x14ac:dyDescent="0.25">
      <c r="A21" s="1">
        <v>40878</v>
      </c>
      <c r="B21" s="4">
        <f>[1]Données!J74</f>
        <v>265441.7</v>
      </c>
      <c r="C21" s="4">
        <f>[1]Données!K74</f>
        <v>151076.4</v>
      </c>
      <c r="D21" s="4">
        <f>[1]Données!M74</f>
        <v>52912.1</v>
      </c>
      <c r="E21" s="4">
        <f>[1]Données!AJ74</f>
        <v>7970.1057279999995</v>
      </c>
      <c r="F21" s="4">
        <f t="shared" si="0"/>
        <v>44941.994271999996</v>
      </c>
      <c r="G21" s="4"/>
      <c r="H21" s="4">
        <f>[1]Données!L74</f>
        <v>54962.1</v>
      </c>
      <c r="I21" s="4">
        <f>[1]Données!N74</f>
        <v>75618.7</v>
      </c>
      <c r="J21" s="4">
        <f>[1]Données!O74</f>
        <v>70062.8</v>
      </c>
      <c r="K21" s="4">
        <f>[1]Données!P74</f>
        <v>935.19999999998254</v>
      </c>
      <c r="L21" s="3">
        <f>[2]PRIX!B172</f>
        <v>92.966402308050263</v>
      </c>
      <c r="M21" s="4">
        <f>[2]PRIX!G172</f>
        <v>98.023333333333326</v>
      </c>
      <c r="N21" s="3">
        <f>[1]Données!R74</f>
        <v>22.7</v>
      </c>
      <c r="O21" s="4">
        <f>[2]REVENUS!W57</f>
        <v>18760.900000000001</v>
      </c>
      <c r="P21" s="4">
        <f>'[2]COMPTE SIMPL'!U58</f>
        <v>171.87876</v>
      </c>
      <c r="Q21" s="3">
        <f>'[2]COMPTE SIMPL'!AY58</f>
        <v>11.342739498469735</v>
      </c>
      <c r="R21" s="4">
        <f>'[2]COMPTE SIMPL'!E58</f>
        <v>126.393</v>
      </c>
      <c r="S21" s="4">
        <f>'[3]CRE vol'!EJ74</f>
        <v>46375.6</v>
      </c>
    </row>
    <row r="22" spans="1:19" x14ac:dyDescent="0.25">
      <c r="A22" s="1">
        <v>40969</v>
      </c>
      <c r="B22" s="4">
        <f>[1]Données!J75</f>
        <v>262943.90000000002</v>
      </c>
      <c r="C22" s="4">
        <f>[1]Données!K75</f>
        <v>151055.5</v>
      </c>
      <c r="D22" s="4">
        <f>[1]Données!M75</f>
        <v>52578.5</v>
      </c>
      <c r="E22" s="4">
        <f>[1]Données!AJ75</f>
        <v>8015.9893119999997</v>
      </c>
      <c r="F22" s="4">
        <f t="shared" si="0"/>
        <v>44562.510688000002</v>
      </c>
      <c r="G22" s="4"/>
      <c r="H22" s="4">
        <f>[1]Données!L75</f>
        <v>54247.4</v>
      </c>
      <c r="I22" s="4">
        <f>[1]Données!N75</f>
        <v>74226.100000000006</v>
      </c>
      <c r="J22" s="4">
        <f>[1]Données!O75</f>
        <v>69271.5</v>
      </c>
      <c r="K22" s="4">
        <f>[1]Données!P75</f>
        <v>107.90000000002328</v>
      </c>
      <c r="L22" s="3">
        <f>[2]PRIX!B173</f>
        <v>93.517481853885684</v>
      </c>
      <c r="M22" s="4">
        <f>[2]PRIX!G173</f>
        <v>97.21</v>
      </c>
      <c r="N22" s="3">
        <f>[1]Données!R75</f>
        <v>23.6</v>
      </c>
      <c r="O22" s="4">
        <f>[2]REVENUS!W58</f>
        <v>18519.599999999999</v>
      </c>
      <c r="P22" s="4">
        <f>'[2]COMPTE SIMPL'!U59</f>
        <v>169.17932000000002</v>
      </c>
      <c r="Q22" s="3">
        <f>'[2]COMPTE SIMPL'!AY59</f>
        <v>9.4647028963114224</v>
      </c>
      <c r="R22" s="4">
        <f>'[2]COMPTE SIMPL'!E59</f>
        <v>124.27</v>
      </c>
      <c r="S22" s="4">
        <f>'[3]CRE vol'!EJ75</f>
        <v>46356.5</v>
      </c>
    </row>
    <row r="23" spans="1:19" x14ac:dyDescent="0.25">
      <c r="A23" s="1">
        <v>41061</v>
      </c>
      <c r="B23" s="4">
        <f>[1]Données!J76</f>
        <v>260395.2</v>
      </c>
      <c r="C23" s="4">
        <f>[1]Données!K76</f>
        <v>148749.5</v>
      </c>
      <c r="D23" s="4">
        <f>[1]Données!M76</f>
        <v>51230.6</v>
      </c>
      <c r="E23" s="4">
        <f>[1]Données!AJ76</f>
        <v>7927.4392320000006</v>
      </c>
      <c r="F23" s="4">
        <f t="shared" si="0"/>
        <v>43303.160768000002</v>
      </c>
      <c r="G23" s="4"/>
      <c r="H23" s="4">
        <f>[1]Données!L76</f>
        <v>53495.9</v>
      </c>
      <c r="I23" s="4">
        <f>[1]Données!N76</f>
        <v>74863</v>
      </c>
      <c r="J23" s="4">
        <f>[1]Données!O76</f>
        <v>67759.600000000006</v>
      </c>
      <c r="K23" s="4">
        <f>[1]Données!P76</f>
        <v>-184.19999999995343</v>
      </c>
      <c r="L23" s="3">
        <f>[2]PRIX!B174</f>
        <v>94.33260433257567</v>
      </c>
      <c r="M23" s="4">
        <f>[2]PRIX!G174</f>
        <v>99.49</v>
      </c>
      <c r="N23" s="3">
        <f>[1]Données!R76</f>
        <v>24.5</v>
      </c>
      <c r="O23" s="4">
        <f>[2]REVENUS!W59</f>
        <v>18350.599999999999</v>
      </c>
      <c r="P23" s="4">
        <f>'[2]COMPTE SIMPL'!U60</f>
        <v>164.38271000000003</v>
      </c>
      <c r="Q23" s="3">
        <f>'[2]COMPTE SIMPL'!AY60</f>
        <v>7.4610705712297838</v>
      </c>
      <c r="R23" s="4">
        <f>'[2]COMPTE SIMPL'!E60</f>
        <v>122.01600000000001</v>
      </c>
      <c r="S23" s="4">
        <f>'[3]CRE vol'!EJ76</f>
        <v>46329.4</v>
      </c>
    </row>
    <row r="24" spans="1:19" x14ac:dyDescent="0.25">
      <c r="A24" s="1">
        <v>41153</v>
      </c>
      <c r="B24" s="4">
        <f>[1]Données!J77</f>
        <v>259199.2</v>
      </c>
      <c r="C24" s="4">
        <f>[1]Données!K77</f>
        <v>146484.4</v>
      </c>
      <c r="D24" s="4">
        <f>[1]Données!M77</f>
        <v>49822.3</v>
      </c>
      <c r="E24" s="4">
        <f>[1]Données!AJ77</f>
        <v>7728.2042239999992</v>
      </c>
      <c r="F24" s="4">
        <f t="shared" si="0"/>
        <v>42094.095776000002</v>
      </c>
      <c r="G24" s="4"/>
      <c r="H24" s="4">
        <f>[1]Données!L77</f>
        <v>52966.8</v>
      </c>
      <c r="I24" s="4">
        <f>[1]Données!N77</f>
        <v>77728.800000000003</v>
      </c>
      <c r="J24" s="4">
        <f>[1]Données!O77</f>
        <v>67553.8</v>
      </c>
      <c r="K24" s="4">
        <f>[1]Données!P77</f>
        <v>-249.29999999995925</v>
      </c>
      <c r="L24" s="3">
        <f>[2]PRIX!B175</f>
        <v>94.962582674924107</v>
      </c>
      <c r="M24" s="4">
        <f>[2]PRIX!G175</f>
        <v>99.39</v>
      </c>
      <c r="N24" s="3">
        <f>[1]Données!R77</f>
        <v>25.2</v>
      </c>
      <c r="O24" s="4">
        <f>[2]REVENUS!W60</f>
        <v>18150.5</v>
      </c>
      <c r="P24" s="4">
        <f>'[2]COMPTE SIMPL'!U61</f>
        <v>166.67234000000002</v>
      </c>
      <c r="Q24" s="3">
        <f>'[2]COMPTE SIMPL'!AY61</f>
        <v>9.5638784455776857</v>
      </c>
      <c r="R24" s="4">
        <f>'[2]COMPTE SIMPL'!E61</f>
        <v>119.973</v>
      </c>
      <c r="S24" s="4">
        <f>'[3]CRE vol'!EJ77</f>
        <v>46310.5</v>
      </c>
    </row>
    <row r="25" spans="1:19" x14ac:dyDescent="0.25">
      <c r="A25" s="1">
        <v>41244</v>
      </c>
      <c r="B25" s="4">
        <f>[1]Données!J78</f>
        <v>257049.8</v>
      </c>
      <c r="C25" s="4">
        <f>[1]Données!K78</f>
        <v>144808.20000000001</v>
      </c>
      <c r="D25" s="4">
        <f>[1]Données!M78</f>
        <v>49106.9</v>
      </c>
      <c r="E25" s="4">
        <f>[1]Données!AJ78</f>
        <v>7640.2419840000002</v>
      </c>
      <c r="F25" s="4">
        <f t="shared" si="0"/>
        <v>41466.658016000001</v>
      </c>
      <c r="G25" s="4"/>
      <c r="H25" s="4">
        <f>[1]Données!L78</f>
        <v>52566.400000000001</v>
      </c>
      <c r="I25" s="4">
        <f>[1]Données!N78</f>
        <v>77059.5</v>
      </c>
      <c r="J25" s="4">
        <f>[1]Données!O78</f>
        <v>66214.100000000006</v>
      </c>
      <c r="K25" s="4">
        <f>[1]Données!P78</f>
        <v>-277.09999999997672</v>
      </c>
      <c r="L25" s="3">
        <f>[2]PRIX!B176</f>
        <v>95.502638914741567</v>
      </c>
      <c r="M25" s="4">
        <f>[2]PRIX!G176</f>
        <v>101.13333333333333</v>
      </c>
      <c r="N25" s="3">
        <f>[1]Données!R78</f>
        <v>25.9</v>
      </c>
      <c r="O25" s="4">
        <f>[2]REVENUS!W61</f>
        <v>17971.7</v>
      </c>
      <c r="P25" s="4">
        <f>'[2]COMPTE SIMPL'!U62</f>
        <v>161.35362000000003</v>
      </c>
      <c r="Q25" s="3">
        <f>'[2]COMPTE SIMPL'!AY62</f>
        <v>7.16725165509148</v>
      </c>
      <c r="R25" s="4">
        <f>'[2]COMPTE SIMPL'!E62</f>
        <v>115.14100000000001</v>
      </c>
      <c r="S25" s="4">
        <f>'[3]CRE vol'!EJ78</f>
        <v>46301.7</v>
      </c>
    </row>
    <row r="26" spans="1:19" x14ac:dyDescent="0.25">
      <c r="A26" s="1">
        <v>41334</v>
      </c>
      <c r="B26" s="4">
        <f>[1]Données!J79</f>
        <v>256343.7</v>
      </c>
      <c r="C26" s="4">
        <f>[1]Données!K79</f>
        <v>143007.6</v>
      </c>
      <c r="D26" s="4">
        <f>[1]Données!M79</f>
        <v>49120.2</v>
      </c>
      <c r="E26" s="4">
        <f>[1]Données!AJ79</f>
        <v>7367.1101440000002</v>
      </c>
      <c r="F26" s="4">
        <f t="shared" si="0"/>
        <v>41753.089855999999</v>
      </c>
      <c r="G26" s="4"/>
      <c r="H26" s="4">
        <f>[1]Données!L79</f>
        <v>52053.3</v>
      </c>
      <c r="I26" s="4">
        <f>[1]Données!N79</f>
        <v>77743.7</v>
      </c>
      <c r="J26" s="4">
        <f>[1]Données!O79</f>
        <v>65744.600000000006</v>
      </c>
      <c r="K26" s="4">
        <f>[1]Données!P79</f>
        <v>163.5000000000291</v>
      </c>
      <c r="L26" s="3">
        <f>[2]PRIX!B177</f>
        <v>95.743696003677485</v>
      </c>
      <c r="M26" s="4">
        <f>[2]PRIX!G177</f>
        <v>99.896666666666661</v>
      </c>
      <c r="N26" s="3">
        <f>[1]Données!R79</f>
        <v>26.3</v>
      </c>
      <c r="O26" s="4">
        <f>[2]REVENUS!W62</f>
        <v>17860.8</v>
      </c>
      <c r="P26" s="4">
        <f>'[2]COMPTE SIMPL'!U63</f>
        <v>166.21045000000004</v>
      </c>
      <c r="Q26" s="3">
        <f>'[2]COMPTE SIMPL'!AY63</f>
        <v>10.778774740096065</v>
      </c>
      <c r="R26" s="4">
        <f>'[2]COMPTE SIMPL'!E63</f>
        <v>118.127</v>
      </c>
      <c r="S26" s="4">
        <f>'[3]CRE vol'!EJ79</f>
        <v>46247.1</v>
      </c>
    </row>
    <row r="27" spans="1:19" x14ac:dyDescent="0.25">
      <c r="A27" s="1">
        <v>41426</v>
      </c>
      <c r="B27" s="4">
        <f>[1]Données!J80</f>
        <v>256081.3</v>
      </c>
      <c r="C27" s="4">
        <f>[1]Données!K80</f>
        <v>143346.70000000001</v>
      </c>
      <c r="D27" s="4">
        <f>[1]Données!M80</f>
        <v>48282</v>
      </c>
      <c r="E27" s="4">
        <f>[1]Données!AJ80</f>
        <v>7238.9930879999993</v>
      </c>
      <c r="F27" s="4">
        <f t="shared" si="0"/>
        <v>41043.006911999997</v>
      </c>
      <c r="G27" s="4"/>
      <c r="H27" s="4">
        <f>[1]Données!L80</f>
        <v>52150.8</v>
      </c>
      <c r="I27" s="4">
        <f>[1]Données!N80</f>
        <v>79251.3</v>
      </c>
      <c r="J27" s="4">
        <f>[1]Données!O80</f>
        <v>66930.2</v>
      </c>
      <c r="K27" s="4">
        <f>[1]Données!P80</f>
        <v>-19.299999999988358</v>
      </c>
      <c r="L27" s="3">
        <f>[2]PRIX!B178</f>
        <v>95.143244430482312</v>
      </c>
      <c r="M27" s="4">
        <f>[2]PRIX!G178</f>
        <v>101.33333333333333</v>
      </c>
      <c r="N27" s="3">
        <f>[1]Données!R80</f>
        <v>26.2</v>
      </c>
      <c r="O27" s="4">
        <f>[2]REVENUS!W63</f>
        <v>17795</v>
      </c>
      <c r="P27" s="4">
        <f>'[2]COMPTE SIMPL'!U64</f>
        <v>165.75577000000001</v>
      </c>
      <c r="Q27" s="3">
        <f>'[2]COMPTE SIMPL'!AY64</f>
        <v>10.88877328372943</v>
      </c>
      <c r="R27" s="4">
        <f>'[2]COMPTE SIMPL'!E64</f>
        <v>116.45399999999999</v>
      </c>
      <c r="S27" s="4">
        <f>'[3]CRE vol'!EJ80</f>
        <v>46184.800000000003</v>
      </c>
    </row>
    <row r="28" spans="1:19" x14ac:dyDescent="0.25">
      <c r="A28" s="1">
        <v>41518</v>
      </c>
      <c r="B28" s="4">
        <f>[1]Données!J81</f>
        <v>255918.9</v>
      </c>
      <c r="C28" s="4">
        <f>[1]Données!K81</f>
        <v>143324.79999999999</v>
      </c>
      <c r="D28" s="4">
        <f>[1]Données!M81</f>
        <v>48839.8</v>
      </c>
      <c r="E28" s="4">
        <f>[1]Données!AJ81</f>
        <v>7133.4384000000009</v>
      </c>
      <c r="F28" s="4">
        <f t="shared" si="0"/>
        <v>41706.361600000004</v>
      </c>
      <c r="G28" s="4"/>
      <c r="H28" s="4">
        <f>[1]Données!L81</f>
        <v>52057.1</v>
      </c>
      <c r="I28" s="4">
        <f>[1]Données!N81</f>
        <v>79964.3</v>
      </c>
      <c r="J28" s="4">
        <f>[1]Données!O81</f>
        <v>68209.2</v>
      </c>
      <c r="K28" s="4">
        <f>[1]Données!P81</f>
        <v>-57.899999999994179</v>
      </c>
      <c r="L28" s="3">
        <f>[2]PRIX!B179</f>
        <v>95.640940347287255</v>
      </c>
      <c r="M28" s="4">
        <f>[2]PRIX!G179</f>
        <v>100.71666666666665</v>
      </c>
      <c r="N28" s="3">
        <f>[1]Données!R81</f>
        <v>26.1</v>
      </c>
      <c r="O28" s="4">
        <f>[2]REVENUS!W64</f>
        <v>17781.2</v>
      </c>
      <c r="P28" s="4">
        <f>'[2]COMPTE SIMPL'!U65</f>
        <v>163.69299999999998</v>
      </c>
      <c r="Q28" s="3">
        <f>'[2]COMPTE SIMPL'!AY65</f>
        <v>9.3302706896446619</v>
      </c>
      <c r="R28" s="4">
        <f>'[2]COMPTE SIMPL'!E65</f>
        <v>116.51300000000001</v>
      </c>
      <c r="S28" s="4">
        <f>'[3]CRE vol'!EJ81</f>
        <v>46106.6</v>
      </c>
    </row>
    <row r="29" spans="1:19" x14ac:dyDescent="0.25">
      <c r="A29" s="1">
        <v>41609</v>
      </c>
      <c r="B29" s="4">
        <f>[1]Données!J82</f>
        <v>256406</v>
      </c>
      <c r="C29" s="4">
        <f>[1]Données!K82</f>
        <v>144451</v>
      </c>
      <c r="D29" s="4">
        <f>[1]Données!M82</f>
        <v>49374</v>
      </c>
      <c r="E29" s="4">
        <f>[1]Données!AJ82</f>
        <v>7118.838592000001</v>
      </c>
      <c r="F29" s="4">
        <f t="shared" si="0"/>
        <v>42255.161408</v>
      </c>
      <c r="G29" s="4"/>
      <c r="H29" s="4">
        <f>[1]Données!L82</f>
        <v>52170.7</v>
      </c>
      <c r="I29" s="4">
        <f>[1]Données!N82</f>
        <v>79954.100000000006</v>
      </c>
      <c r="J29" s="4">
        <f>[1]Données!O82</f>
        <v>69160</v>
      </c>
      <c r="K29" s="4">
        <f>[1]Données!P82</f>
        <v>-383.79999999998836</v>
      </c>
      <c r="L29" s="3">
        <f>[2]PRIX!B180</f>
        <v>95.498244972018881</v>
      </c>
      <c r="M29" s="4">
        <f>[2]PRIX!G180</f>
        <v>101.35333333333334</v>
      </c>
      <c r="N29" s="3">
        <f>[1]Données!R82</f>
        <v>25.8</v>
      </c>
      <c r="O29" s="4">
        <f>[2]REVENUS!W65</f>
        <v>17774.2</v>
      </c>
      <c r="P29" s="4">
        <f>'[2]COMPTE SIMPL'!U66</f>
        <v>163.16878000000003</v>
      </c>
      <c r="Q29" s="3">
        <f>'[2]COMPTE SIMPL'!AY66</f>
        <v>8.4549139853837261</v>
      </c>
      <c r="R29" s="4">
        <f>'[2]COMPTE SIMPL'!E66</f>
        <v>116.42700000000001</v>
      </c>
      <c r="S29" s="4">
        <f>'[3]CRE vol'!EJ82</f>
        <v>46044.4</v>
      </c>
    </row>
    <row r="30" spans="1:19" x14ac:dyDescent="0.25">
      <c r="A30" s="1">
        <v>41699</v>
      </c>
      <c r="B30" s="4">
        <f>[1]Données!J83</f>
        <v>257375.5</v>
      </c>
      <c r="C30" s="4">
        <f>[1]Données!K83</f>
        <v>144596.5</v>
      </c>
      <c r="D30" s="4">
        <f>[1]Données!M83</f>
        <v>51071.9</v>
      </c>
      <c r="E30" s="4">
        <f>[1]Données!AJ83</f>
        <v>8106.9228160000002</v>
      </c>
      <c r="F30" s="4">
        <f t="shared" si="0"/>
        <v>42964.977184000003</v>
      </c>
      <c r="G30" s="4"/>
      <c r="H30" s="4">
        <f>[1]Données!L83</f>
        <v>51990.9</v>
      </c>
      <c r="I30" s="4">
        <f>[1]Données!N83</f>
        <v>80719.899999999994</v>
      </c>
      <c r="J30" s="4">
        <f>[1]Données!O83</f>
        <v>70604</v>
      </c>
      <c r="K30" s="4">
        <f>[1]Données!P83</f>
        <v>-399.69999999998254</v>
      </c>
      <c r="L30" s="3">
        <f>[2]PRIX!B181</f>
        <v>95.556860519112419</v>
      </c>
      <c r="M30" s="4">
        <f>[2]PRIX!G181</f>
        <v>99.929999999999993</v>
      </c>
      <c r="N30" s="3">
        <f>[1]Données!R83</f>
        <v>25.3</v>
      </c>
      <c r="O30" s="4">
        <f>[2]REVENUS!W66</f>
        <v>17783.2</v>
      </c>
      <c r="P30" s="4">
        <f>'[2]COMPTE SIMPL'!U67</f>
        <v>161.48755999999997</v>
      </c>
      <c r="Q30" s="3">
        <f>'[2]COMPTE SIMPL'!AY67</f>
        <v>7.3445657362090113</v>
      </c>
      <c r="R30" s="4">
        <f>'[2]COMPTE SIMPL'!E67</f>
        <v>116.839</v>
      </c>
      <c r="S30" s="4">
        <f>'[3]CRE vol'!EJ83</f>
        <v>45976.7</v>
      </c>
    </row>
    <row r="31" spans="1:19" x14ac:dyDescent="0.25">
      <c r="A31" s="1">
        <v>41791</v>
      </c>
      <c r="B31" s="4">
        <f>[1]Données!J84</f>
        <v>258765</v>
      </c>
      <c r="C31" s="4">
        <f>[1]Données!K84</f>
        <v>145595.4</v>
      </c>
      <c r="D31" s="4">
        <f>[1]Données!M84</f>
        <v>51046.3</v>
      </c>
      <c r="E31" s="4">
        <f>[1]Données!AJ84</f>
        <v>7992.5825919999997</v>
      </c>
      <c r="F31" s="4">
        <f t="shared" si="0"/>
        <v>43053.717408000004</v>
      </c>
      <c r="G31" s="4"/>
      <c r="H31" s="4">
        <f>[1]Données!L84</f>
        <v>51766.5</v>
      </c>
      <c r="I31" s="4">
        <f>[1]Données!N84</f>
        <v>81830.3</v>
      </c>
      <c r="J31" s="4">
        <f>[1]Données!O84</f>
        <v>71637.3</v>
      </c>
      <c r="K31" s="4">
        <f>[1]Données!P84</f>
        <v>163.80000000001746</v>
      </c>
      <c r="L31" s="3">
        <f>[2]PRIX!B182</f>
        <v>95.799440691469187</v>
      </c>
      <c r="M31" s="4">
        <f>[2]PRIX!G182</f>
        <v>101.53333333333335</v>
      </c>
      <c r="N31" s="3">
        <f>[1]Données!R84</f>
        <v>24.6</v>
      </c>
      <c r="O31" s="4">
        <f>[2]REVENUS!W67</f>
        <v>17945.8</v>
      </c>
      <c r="P31" s="4">
        <f>'[2]COMPTE SIMPL'!U68</f>
        <v>162.87091999999998</v>
      </c>
      <c r="Q31" s="3">
        <f>'[2]COMPTE SIMPL'!AY68</f>
        <v>7.2787210878406263</v>
      </c>
      <c r="R31" s="4">
        <f>'[2]COMPTE SIMPL'!E68</f>
        <v>118.10599999999999</v>
      </c>
      <c r="S31" s="4">
        <f>'[3]CRE vol'!EJ84</f>
        <v>46004</v>
      </c>
    </row>
    <row r="32" spans="1:19" x14ac:dyDescent="0.25">
      <c r="A32" s="1">
        <v>41883</v>
      </c>
      <c r="B32" s="4">
        <f>[1]Données!J85</f>
        <v>260834.2</v>
      </c>
      <c r="C32" s="4">
        <f>[1]Données!K85</f>
        <v>146498.9</v>
      </c>
      <c r="D32" s="4">
        <f>[1]Données!M85</f>
        <v>50881.599999999999</v>
      </c>
      <c r="E32" s="4">
        <f>[1]Données!AJ85</f>
        <v>7867.8322559999988</v>
      </c>
      <c r="F32" s="4">
        <f t="shared" si="0"/>
        <v>43013.767743999997</v>
      </c>
      <c r="G32" s="4"/>
      <c r="H32" s="4">
        <f>[1]Données!L85</f>
        <v>51762.7</v>
      </c>
      <c r="I32" s="4">
        <f>[1]Données!N85</f>
        <v>84145.600000000006</v>
      </c>
      <c r="J32" s="4">
        <f>[1]Données!O85</f>
        <v>73089.399999999994</v>
      </c>
      <c r="K32" s="4">
        <f>[1]Données!P85</f>
        <v>634.79999999995925</v>
      </c>
      <c r="L32" s="3">
        <f>[2]PRIX!B183</f>
        <v>95.616732099672745</v>
      </c>
      <c r="M32" s="4">
        <f>[2]PRIX!G183</f>
        <v>100.33</v>
      </c>
      <c r="N32" s="3">
        <f>[1]Données!R85</f>
        <v>24.1</v>
      </c>
      <c r="O32" s="4">
        <f>[2]REVENUS!W68</f>
        <v>18041.2</v>
      </c>
      <c r="P32" s="4">
        <f>'[2]COMPTE SIMPL'!U69</f>
        <v>165.41893999999999</v>
      </c>
      <c r="Q32" s="3">
        <f>'[2]COMPTE SIMPL'!AY69</f>
        <v>8.2994970225295752</v>
      </c>
      <c r="R32" s="4">
        <f>'[2]COMPTE SIMPL'!E69</f>
        <v>118.892</v>
      </c>
      <c r="S32" s="4">
        <f>'[3]CRE vol'!EJ85</f>
        <v>45998.6</v>
      </c>
    </row>
    <row r="33" spans="1:19" x14ac:dyDescent="0.25">
      <c r="A33" s="1">
        <v>41974</v>
      </c>
      <c r="B33" s="4">
        <f>[1]Données!J86</f>
        <v>263356.5</v>
      </c>
      <c r="C33" s="4">
        <f>[1]Données!K86</f>
        <v>147402.4</v>
      </c>
      <c r="D33" s="4">
        <f>[1]Données!M86</f>
        <v>51163</v>
      </c>
      <c r="E33" s="4">
        <f>[1]Données!AJ86</f>
        <v>7668.8323840000003</v>
      </c>
      <c r="F33" s="4">
        <f t="shared" si="0"/>
        <v>43494.167615999999</v>
      </c>
      <c r="G33" s="4"/>
      <c r="H33" s="4">
        <f>[1]Données!L86</f>
        <v>51794</v>
      </c>
      <c r="I33" s="4">
        <f>[1]Données!N86</f>
        <v>84496.5</v>
      </c>
      <c r="J33" s="4">
        <f>[1]Données!O86</f>
        <v>73082.2</v>
      </c>
      <c r="K33" s="4">
        <f>[1]Données!P86</f>
        <v>1582.8000000000175</v>
      </c>
      <c r="L33" s="3">
        <f>[2]PRIX!B184</f>
        <v>95.557171755348975</v>
      </c>
      <c r="M33" s="4">
        <f>[2]PRIX!G184</f>
        <v>100.74000000000001</v>
      </c>
      <c r="N33" s="3">
        <f>[1]Données!R86</f>
        <v>23.8</v>
      </c>
      <c r="O33" s="4">
        <f>[2]REVENUS!W69</f>
        <v>18180.599999999999</v>
      </c>
      <c r="P33" s="4">
        <f>'[2]COMPTE SIMPL'!U70</f>
        <v>170.02160000000001</v>
      </c>
      <c r="Q33" s="3">
        <f>'[2]COMPTE SIMPL'!AY70</f>
        <v>10.311983889105862</v>
      </c>
      <c r="R33" s="4">
        <f>'[2]COMPTE SIMPL'!E70</f>
        <v>119.694</v>
      </c>
      <c r="S33" s="4">
        <f>'[3]CRE vol'!EJ86</f>
        <v>46000.5</v>
      </c>
    </row>
    <row r="34" spans="1:19" x14ac:dyDescent="0.25">
      <c r="A34" s="1">
        <v>42064</v>
      </c>
      <c r="B34" s="4">
        <f>[1]Données!J87</f>
        <v>266562.2</v>
      </c>
      <c r="C34" s="4">
        <f>[1]Données!K87</f>
        <v>148734</v>
      </c>
      <c r="D34" s="4">
        <f>[1]Données!M87</f>
        <v>52734</v>
      </c>
      <c r="E34" s="4">
        <f>[1]Données!AJ87</f>
        <v>7551.2857599999998</v>
      </c>
      <c r="F34" s="4">
        <f t="shared" si="0"/>
        <v>45182.714240000001</v>
      </c>
      <c r="G34" s="4"/>
      <c r="H34" s="4">
        <f>[1]Données!L87</f>
        <v>52320.3</v>
      </c>
      <c r="I34" s="4">
        <f>[1]Données!N87</f>
        <v>84956</v>
      </c>
      <c r="J34" s="4">
        <f>[1]Données!O87</f>
        <v>74453.600000000006</v>
      </c>
      <c r="K34" s="4">
        <f>[1]Données!P87</f>
        <v>2271.5000000000582</v>
      </c>
      <c r="L34" s="3">
        <f>[2]PRIX!B185</f>
        <v>95.392706214667626</v>
      </c>
      <c r="M34" s="4">
        <f>[2]PRIX!G185</f>
        <v>98.79</v>
      </c>
      <c r="N34" s="3">
        <f>[1]Données!R87</f>
        <v>23.2</v>
      </c>
      <c r="O34" s="4">
        <f>[2]REVENUS!W70</f>
        <v>18288.400000000001</v>
      </c>
      <c r="P34" s="4">
        <f>'[2]COMPTE SIMPL'!U71</f>
        <v>170.08942999999999</v>
      </c>
      <c r="Q34" s="3">
        <f>'[2]COMPTE SIMPL'!AY71</f>
        <v>9.6992682026155137</v>
      </c>
      <c r="R34" s="4">
        <f>'[2]COMPTE SIMPL'!E71</f>
        <v>121.70099999999999</v>
      </c>
      <c r="S34" s="4">
        <f>'[3]CRE vol'!EJ87</f>
        <v>45986.400000000001</v>
      </c>
    </row>
    <row r="35" spans="1:19" x14ac:dyDescent="0.25">
      <c r="A35" s="1">
        <v>42156</v>
      </c>
      <c r="B35" s="4">
        <f>[1]Données!J88</f>
        <v>269547</v>
      </c>
      <c r="C35" s="4">
        <f>[1]Données!K88</f>
        <v>149623</v>
      </c>
      <c r="D35" s="4">
        <f>[1]Données!M88</f>
        <v>53958.1</v>
      </c>
      <c r="E35" s="4">
        <f>[1]Données!AJ88</f>
        <v>7597.9281919999994</v>
      </c>
      <c r="F35" s="4">
        <f t="shared" si="0"/>
        <v>46360.171807999999</v>
      </c>
      <c r="G35" s="4"/>
      <c r="H35" s="4">
        <f>[1]Données!L88</f>
        <v>52755.7</v>
      </c>
      <c r="I35" s="4">
        <f>[1]Données!N88</f>
        <v>85397.9</v>
      </c>
      <c r="J35" s="4">
        <f>[1]Données!O88</f>
        <v>75022.899999999994</v>
      </c>
      <c r="K35" s="4">
        <f>[1]Données!P88</f>
        <v>2835.2000000000116</v>
      </c>
      <c r="L35" s="3">
        <f>[2]PRIX!B186</f>
        <v>95.804662717995029</v>
      </c>
      <c r="M35" s="4">
        <f>[2]PRIX!G186</f>
        <v>101.18666666666667</v>
      </c>
      <c r="N35" s="3">
        <f>[1]Données!R88</f>
        <v>22.5</v>
      </c>
      <c r="O35" s="4">
        <f>[2]REVENUS!W71</f>
        <v>18452.8</v>
      </c>
      <c r="P35" s="4">
        <f>'[2]COMPTE SIMPL'!U72</f>
        <v>170.57686999999999</v>
      </c>
      <c r="Q35" s="3">
        <f>'[2]COMPTE SIMPL'!AY72</f>
        <v>9.0527338202418743</v>
      </c>
      <c r="R35" s="4">
        <f>'[2]COMPTE SIMPL'!E72</f>
        <v>122.959</v>
      </c>
      <c r="S35" s="4">
        <f>'[3]CRE vol'!EJ88</f>
        <v>45970.2</v>
      </c>
    </row>
    <row r="36" spans="1:19" x14ac:dyDescent="0.25">
      <c r="A36" s="1">
        <v>42248</v>
      </c>
      <c r="B36" s="4">
        <f>[1]Données!J89</f>
        <v>272019.3</v>
      </c>
      <c r="C36" s="4">
        <f>[1]Données!K89</f>
        <v>151412.70000000001</v>
      </c>
      <c r="D36" s="4">
        <f>[1]Données!M89</f>
        <v>54000.1</v>
      </c>
      <c r="E36" s="4">
        <f>[1]Données!AJ89</f>
        <v>7673.4389119999996</v>
      </c>
      <c r="F36" s="4">
        <f t="shared" si="0"/>
        <v>46326.661088000001</v>
      </c>
      <c r="G36" s="4"/>
      <c r="H36" s="4">
        <f>[1]Données!L89</f>
        <v>52986.6</v>
      </c>
      <c r="I36" s="4">
        <f>[1]Données!N89</f>
        <v>87295.4</v>
      </c>
      <c r="J36" s="4">
        <f>[1]Données!O89</f>
        <v>77046</v>
      </c>
      <c r="K36" s="4">
        <f>[1]Données!P89</f>
        <v>3370.4999999999709</v>
      </c>
      <c r="L36" s="3">
        <f>[2]PRIX!B187</f>
        <v>95.539660668899373</v>
      </c>
      <c r="M36" s="4">
        <f>[2]PRIX!G187</f>
        <v>99.766666666666666</v>
      </c>
      <c r="N36" s="3">
        <f>[1]Données!R89</f>
        <v>21.6</v>
      </c>
      <c r="O36" s="4">
        <f>[2]REVENUS!W72</f>
        <v>18562.400000000001</v>
      </c>
      <c r="P36" s="4">
        <f>'[2]COMPTE SIMPL'!U73</f>
        <v>173.23749999999998</v>
      </c>
      <c r="Q36" s="3">
        <f>'[2]COMPTE SIMPL'!AY73</f>
        <v>9.6419655097770534</v>
      </c>
      <c r="R36" s="4">
        <f>'[2]COMPTE SIMPL'!E73</f>
        <v>123.532</v>
      </c>
      <c r="S36" s="4">
        <f>'[3]CRE vol'!EJ89</f>
        <v>45953.7</v>
      </c>
    </row>
    <row r="37" spans="1:19" x14ac:dyDescent="0.25">
      <c r="A37" s="1">
        <v>42339</v>
      </c>
      <c r="B37" s="4">
        <f>[1]Données!J90</f>
        <v>274449.09999999998</v>
      </c>
      <c r="C37" s="4">
        <f>[1]Données!K90</f>
        <v>151820.79999999999</v>
      </c>
      <c r="D37" s="4">
        <f>[1]Données!M90</f>
        <v>54346</v>
      </c>
      <c r="E37" s="4">
        <f>[1]Données!AJ90</f>
        <v>7737.8447999999999</v>
      </c>
      <c r="F37" s="4">
        <f t="shared" si="0"/>
        <v>46608.155200000001</v>
      </c>
      <c r="G37" s="4"/>
      <c r="H37" s="4">
        <f>[1]Données!L90</f>
        <v>53248.800000000003</v>
      </c>
      <c r="I37" s="4">
        <f>[1]Données!N90</f>
        <v>87955.5</v>
      </c>
      <c r="J37" s="4">
        <f>[1]Données!O90</f>
        <v>76575.600000000006</v>
      </c>
      <c r="K37" s="4">
        <f>[1]Données!P90</f>
        <v>3653.5999999999767</v>
      </c>
      <c r="L37" s="3">
        <f>[2]PRIX!B188</f>
        <v>95.546594012945391</v>
      </c>
      <c r="M37" s="4">
        <f>[2]PRIX!G188</f>
        <v>100.25666666666666</v>
      </c>
      <c r="N37" s="3">
        <f>[1]Données!R90</f>
        <v>21</v>
      </c>
      <c r="O37" s="4">
        <f>[2]REVENUS!W73</f>
        <v>18659.599999999999</v>
      </c>
      <c r="P37" s="4">
        <f>'[2]COMPTE SIMPL'!U74</f>
        <v>171.89117999999999</v>
      </c>
      <c r="Q37" s="3">
        <f>'[2]COMPTE SIMPL'!AY74</f>
        <v>8.6910683840788074</v>
      </c>
      <c r="R37" s="4">
        <f>'[2]COMPTE SIMPL'!E74</f>
        <v>124.7</v>
      </c>
      <c r="S37" s="4">
        <f>'[3]CRE vol'!EJ90</f>
        <v>45957.8</v>
      </c>
    </row>
    <row r="38" spans="1:19" x14ac:dyDescent="0.25">
      <c r="A38" s="1">
        <v>42430</v>
      </c>
      <c r="B38" s="4">
        <f>[1]Données!J91</f>
        <v>276354.90000000002</v>
      </c>
      <c r="C38" s="4">
        <f>[1]Données!K91</f>
        <v>152578</v>
      </c>
      <c r="D38" s="4">
        <f>[1]Données!M91</f>
        <v>54479</v>
      </c>
      <c r="E38" s="4">
        <f>[1]Données!AJ91</f>
        <v>8032.5663999999997</v>
      </c>
      <c r="F38" s="4">
        <f t="shared" si="0"/>
        <v>46446.433600000004</v>
      </c>
      <c r="G38" s="4"/>
      <c r="H38" s="4">
        <f>[1]Données!L91</f>
        <v>53315.1</v>
      </c>
      <c r="I38" s="4">
        <f>[1]Données!N91</f>
        <v>88947.9</v>
      </c>
      <c r="J38" s="4">
        <f>[1]Données!O91</f>
        <v>76361.7</v>
      </c>
      <c r="K38" s="4">
        <f>[1]Données!P91</f>
        <v>3396.600000000064</v>
      </c>
      <c r="L38" s="3">
        <f>[2]PRIX!B189</f>
        <v>95.524902870819787</v>
      </c>
      <c r="M38" s="4">
        <f>[2]PRIX!G189</f>
        <v>98</v>
      </c>
      <c r="N38" s="3">
        <f>[1]Données!R91</f>
        <v>20.399999999999999</v>
      </c>
      <c r="O38" s="4">
        <f>[2]REVENUS!W74</f>
        <v>18740.3</v>
      </c>
      <c r="P38" s="4">
        <f>'[2]COMPTE SIMPL'!U75</f>
        <v>175.13755</v>
      </c>
      <c r="Q38" s="3">
        <f>'[2]COMPTE SIMPL'!AY75</f>
        <v>9.9930311917690062</v>
      </c>
      <c r="R38" s="4">
        <f>'[2]COMPTE SIMPL'!E75</f>
        <v>124.506</v>
      </c>
      <c r="S38" s="4">
        <f>'[3]CRE vol'!EJ91</f>
        <v>45953.2</v>
      </c>
    </row>
    <row r="39" spans="1:19" x14ac:dyDescent="0.25">
      <c r="A39" s="1">
        <v>42522</v>
      </c>
      <c r="B39" s="4">
        <f>[1]Données!J92</f>
        <v>277269.59999999998</v>
      </c>
      <c r="C39" s="4">
        <f>[1]Données!K92</f>
        <v>154131.4</v>
      </c>
      <c r="D39" s="4">
        <f>[1]Données!M92</f>
        <v>54726.7</v>
      </c>
      <c r="E39" s="4">
        <f>[1]Données!AJ92</f>
        <v>8164.8090240000001</v>
      </c>
      <c r="F39" s="4">
        <f t="shared" si="0"/>
        <v>46561.890975999995</v>
      </c>
      <c r="G39" s="4"/>
      <c r="H39" s="4">
        <f>[1]Données!L92</f>
        <v>53265.9</v>
      </c>
      <c r="I39" s="4">
        <f>[1]Données!N92</f>
        <v>90568.8</v>
      </c>
      <c r="J39" s="4">
        <f>[1]Données!O92</f>
        <v>78150.100000000006</v>
      </c>
      <c r="K39" s="4">
        <f>[1]Données!P92</f>
        <v>2726.8999999999651</v>
      </c>
      <c r="L39" s="3">
        <f>[2]PRIX!B190</f>
        <v>95.238729358280978</v>
      </c>
      <c r="M39" s="4">
        <f>[2]PRIX!G190</f>
        <v>100.13666666666666</v>
      </c>
      <c r="N39" s="3">
        <f>[1]Données!R92</f>
        <v>20.100000000000001</v>
      </c>
      <c r="O39" s="4">
        <f>[2]REVENUS!W75</f>
        <v>18828.7</v>
      </c>
      <c r="P39" s="4">
        <f>'[2]COMPTE SIMPL'!U76</f>
        <v>176.51615000000001</v>
      </c>
      <c r="Q39" s="3">
        <f>'[2]COMPTE SIMPL'!AY76</f>
        <v>10.039392996051635</v>
      </c>
      <c r="R39" s="4">
        <f>'[2]COMPTE SIMPL'!E76</f>
        <v>125.49299999999999</v>
      </c>
      <c r="S39" s="4">
        <f>'[3]CRE vol'!EJ92</f>
        <v>45955.5</v>
      </c>
    </row>
    <row r="40" spans="1:19" x14ac:dyDescent="0.25">
      <c r="A40" s="1">
        <v>42614</v>
      </c>
      <c r="B40" s="4">
        <f>[1]Données!J93</f>
        <v>279461.5</v>
      </c>
      <c r="C40" s="4">
        <f>[1]Données!K93</f>
        <v>155202.1</v>
      </c>
      <c r="D40" s="4">
        <f>[1]Données!M93</f>
        <v>54535.3</v>
      </c>
      <c r="E40" s="4">
        <f>[1]Données!AJ93</f>
        <v>8362.0988160000015</v>
      </c>
      <c r="F40" s="4">
        <f t="shared" si="0"/>
        <v>46173.201184000005</v>
      </c>
      <c r="G40" s="4"/>
      <c r="H40" s="4">
        <f>[1]Données!L93</f>
        <v>53230.8</v>
      </c>
      <c r="I40" s="4">
        <f>[1]Données!N93</f>
        <v>91427.5</v>
      </c>
      <c r="J40" s="4">
        <f>[1]Données!O93</f>
        <v>77500.100000000006</v>
      </c>
      <c r="K40" s="4">
        <f>[1]Données!P93</f>
        <v>2565.8999999999942</v>
      </c>
      <c r="L40" s="3">
        <f>[2]PRIX!B191</f>
        <v>95.865183887084925</v>
      </c>
      <c r="M40" s="4">
        <f>[2]PRIX!G191</f>
        <v>99.463333333333324</v>
      </c>
      <c r="N40" s="3">
        <f>[1]Données!R93</f>
        <v>19.3</v>
      </c>
      <c r="O40" s="4">
        <f>[2]REVENUS!W76</f>
        <v>18939.599999999999</v>
      </c>
      <c r="P40" s="4">
        <f>'[2]COMPTE SIMPL'!U77</f>
        <v>175.50209000000004</v>
      </c>
      <c r="Q40" s="3">
        <f>'[2]COMPTE SIMPL'!AY77</f>
        <v>8.2899810480889293</v>
      </c>
      <c r="R40" s="4">
        <f>'[2]COMPTE SIMPL'!E77</f>
        <v>126.24299999999999</v>
      </c>
      <c r="S40" s="4">
        <f>'[3]CRE vol'!EJ93</f>
        <v>45982.8</v>
      </c>
    </row>
    <row r="41" spans="1:19" x14ac:dyDescent="0.25">
      <c r="A41" s="1">
        <v>42705</v>
      </c>
      <c r="B41" s="4">
        <f>[1]Données!J94</f>
        <v>281049.3</v>
      </c>
      <c r="C41" s="4">
        <f>[1]Données!K94</f>
        <v>155664.79999999999</v>
      </c>
      <c r="D41" s="4">
        <f>[1]Données!M94</f>
        <v>55669.3</v>
      </c>
      <c r="E41" s="4">
        <f>[1]Données!AJ94</f>
        <v>8696.6439040000005</v>
      </c>
      <c r="F41" s="4">
        <f t="shared" si="0"/>
        <v>46972.656096000006</v>
      </c>
      <c r="G41" s="4"/>
      <c r="H41" s="4">
        <f>[1]Données!L94</f>
        <v>53360.5</v>
      </c>
      <c r="I41" s="4">
        <f>[1]Données!N94</f>
        <v>93297.2</v>
      </c>
      <c r="J41" s="4">
        <f>[1]Données!O94</f>
        <v>79106.3</v>
      </c>
      <c r="K41" s="4">
        <f>[1]Données!P94</f>
        <v>2163.7999999999884</v>
      </c>
      <c r="L41" s="3">
        <f>[2]PRIX!B192</f>
        <v>96.594100418267701</v>
      </c>
      <c r="M41" s="4">
        <f>[2]PRIX!G192</f>
        <v>101.05333333333333</v>
      </c>
      <c r="N41" s="3">
        <f>[1]Données!R94</f>
        <v>18.7</v>
      </c>
      <c r="O41" s="4">
        <f>[2]REVENUS!W77</f>
        <v>19033</v>
      </c>
      <c r="P41" s="4">
        <f>'[2]COMPTE SIMPL'!U78</f>
        <v>176.58524</v>
      </c>
      <c r="Q41" s="3">
        <f>'[2]COMPTE SIMPL'!AY78</f>
        <v>7.88131556182159</v>
      </c>
      <c r="R41" s="4">
        <f>'[2]COMPTE SIMPL'!E78</f>
        <v>127.482</v>
      </c>
      <c r="S41" s="4">
        <f>'[3]CRE vol'!EJ94</f>
        <v>46019.6</v>
      </c>
    </row>
    <row r="42" spans="1:19" x14ac:dyDescent="0.25">
      <c r="A42" s="1">
        <v>42795</v>
      </c>
      <c r="B42" s="4">
        <f>[1]Données!J95</f>
        <v>283039.2</v>
      </c>
      <c r="C42" s="4">
        <f>[1]Données!K95</f>
        <v>157256.4</v>
      </c>
      <c r="D42" s="4">
        <f>[1]Données!M95</f>
        <v>57140.1</v>
      </c>
      <c r="E42" s="4">
        <f>[1]Données!AJ95</f>
        <v>8964.3248640000002</v>
      </c>
      <c r="F42" s="4">
        <f t="shared" si="0"/>
        <v>48175.775135999997</v>
      </c>
      <c r="G42" s="4"/>
      <c r="H42" s="4">
        <f>[1]Données!L95</f>
        <v>53593.4</v>
      </c>
      <c r="I42" s="4">
        <f>[1]Données!N95</f>
        <v>94671.2</v>
      </c>
      <c r="J42" s="4">
        <f>[1]Données!O95</f>
        <v>81342.5</v>
      </c>
      <c r="K42" s="4">
        <f>[1]Données!P95</f>
        <v>1720.6000000000058</v>
      </c>
      <c r="L42" s="3">
        <f>[2]PRIX!B193</f>
        <v>97.068320410877504</v>
      </c>
      <c r="M42" s="4">
        <f>[2]PRIX!G193</f>
        <v>100.64999999999999</v>
      </c>
      <c r="N42" s="3">
        <f>[1]Données!R95</f>
        <v>18.2</v>
      </c>
      <c r="O42" s="4">
        <f>[2]REVENUS!W78</f>
        <v>19174.900000000001</v>
      </c>
      <c r="P42" s="4">
        <f>'[2]COMPTE SIMPL'!U79</f>
        <v>178.51366999999999</v>
      </c>
      <c r="Q42" s="3">
        <f>'[2]COMPTE SIMPL'!AY79</f>
        <v>7.4625489465316583</v>
      </c>
      <c r="R42" s="4">
        <f>'[2]COMPTE SIMPL'!E79</f>
        <v>129.035</v>
      </c>
      <c r="S42" s="4">
        <f>'[3]CRE vol'!EJ95</f>
        <v>46038.400000000001</v>
      </c>
    </row>
    <row r="43" spans="1:19" x14ac:dyDescent="0.25">
      <c r="A43" s="1">
        <v>42887</v>
      </c>
      <c r="B43" s="4">
        <f>[1]Données!J96</f>
        <v>285999.5</v>
      </c>
      <c r="C43" s="4">
        <f>[1]Données!K96</f>
        <v>158593.5</v>
      </c>
      <c r="D43" s="4">
        <f>[1]Données!M96</f>
        <v>57602.7</v>
      </c>
      <c r="E43" s="4">
        <f>[1]Données!AJ96</f>
        <v>9384.7159680000004</v>
      </c>
      <c r="F43" s="4">
        <f t="shared" si="0"/>
        <v>48217.984031999993</v>
      </c>
      <c r="G43" s="4"/>
      <c r="H43" s="4">
        <f>[1]Données!L96</f>
        <v>53624.6</v>
      </c>
      <c r="I43" s="4">
        <f>[1]Données!N96</f>
        <v>95654.3</v>
      </c>
      <c r="J43" s="4">
        <f>[1]Données!O96</f>
        <v>81432.3</v>
      </c>
      <c r="K43" s="4">
        <f>[1]Données!P96</f>
        <v>1956.6999999999825</v>
      </c>
      <c r="L43" s="3">
        <f>[2]PRIX!B194</f>
        <v>97.374765579354118</v>
      </c>
      <c r="M43" s="4">
        <f>[2]PRIX!G194</f>
        <v>102.19666666666667</v>
      </c>
      <c r="N43" s="3">
        <f>[1]Données!R96</f>
        <v>17.399999999999999</v>
      </c>
      <c r="O43" s="4">
        <f>[2]REVENUS!W79</f>
        <v>19322.099999999999</v>
      </c>
      <c r="P43" s="4">
        <f>'[2]COMPTE SIMPL'!U80</f>
        <v>181.43087</v>
      </c>
      <c r="Q43" s="3">
        <f>'[2]COMPTE SIMPL'!AY80</f>
        <v>7.8910882144807815</v>
      </c>
      <c r="R43" s="4">
        <f>'[2]COMPTE SIMPL'!E80</f>
        <v>130.29900000000001</v>
      </c>
      <c r="S43" s="4">
        <f>'[3]CRE vol'!EJ96</f>
        <v>46055.6</v>
      </c>
    </row>
    <row r="44" spans="1:19" x14ac:dyDescent="0.25">
      <c r="A44" s="1">
        <v>42979</v>
      </c>
      <c r="B44" s="4">
        <f>[1]Données!J97</f>
        <v>287805.3</v>
      </c>
      <c r="C44" s="4">
        <f>[1]Données!K97</f>
        <v>159809.60000000001</v>
      </c>
      <c r="D44" s="4">
        <f>[1]Données!M97</f>
        <v>59153.2</v>
      </c>
      <c r="E44" s="4">
        <f>[1]Données!AJ97</f>
        <v>9688.6933759999993</v>
      </c>
      <c r="F44" s="4">
        <f t="shared" si="0"/>
        <v>49464.506624000001</v>
      </c>
      <c r="G44" s="4"/>
      <c r="H44" s="4">
        <f>[1]Données!L97</f>
        <v>54006.1</v>
      </c>
      <c r="I44" s="4">
        <f>[1]Données!N97</f>
        <v>96547.4</v>
      </c>
      <c r="J44" s="4">
        <f>[1]Données!O97</f>
        <v>83614</v>
      </c>
      <c r="K44" s="4">
        <f>[1]Données!P97</f>
        <v>1903</v>
      </c>
      <c r="L44" s="3">
        <f>[2]PRIX!B195</f>
        <v>97.177136810604793</v>
      </c>
      <c r="M44" s="4">
        <f>[2]PRIX!G195</f>
        <v>101.3</v>
      </c>
      <c r="N44" s="3">
        <f>[1]Données!R97</f>
        <v>16.7</v>
      </c>
      <c r="O44" s="4">
        <f>[2]REVENUS!W80</f>
        <v>19474.900000000001</v>
      </c>
      <c r="P44" s="4">
        <f>'[2]COMPTE SIMPL'!U81</f>
        <v>180.74962000000002</v>
      </c>
      <c r="Q44" s="3">
        <f>'[2]COMPTE SIMPL'!AY81</f>
        <v>7.0177851549563446</v>
      </c>
      <c r="R44" s="4">
        <f>'[2]COMPTE SIMPL'!E81</f>
        <v>131.495</v>
      </c>
      <c r="S44" s="4">
        <f>'[3]CRE vol'!EJ97</f>
        <v>46090.400000000001</v>
      </c>
    </row>
    <row r="45" spans="1:19" x14ac:dyDescent="0.25">
      <c r="A45" s="1">
        <v>43070</v>
      </c>
      <c r="B45" s="4">
        <f>[1]Données!J98</f>
        <v>289558.3</v>
      </c>
      <c r="C45" s="4">
        <f>[1]Données!K98</f>
        <v>160914</v>
      </c>
      <c r="D45" s="4">
        <f>[1]Données!M98</f>
        <v>60325.1</v>
      </c>
      <c r="E45" s="4">
        <f>[1]Données!AJ98</f>
        <v>10116.758463999999</v>
      </c>
      <c r="F45" s="4">
        <f t="shared" si="0"/>
        <v>50208.341536</v>
      </c>
      <c r="G45" s="4"/>
      <c r="H45" s="4">
        <f>[1]Données!L98</f>
        <v>53982.400000000001</v>
      </c>
      <c r="I45" s="4">
        <f>[1]Données!N98</f>
        <v>97792.3</v>
      </c>
      <c r="J45" s="4">
        <f>[1]Données!O98</f>
        <v>85562.9</v>
      </c>
      <c r="K45" s="4">
        <f>[1]Données!P98</f>
        <v>2107.3999999999651</v>
      </c>
      <c r="L45" s="3">
        <f>[2]PRIX!B196</f>
        <v>97.670230666951724</v>
      </c>
      <c r="M45" s="4">
        <f>[2]PRIX!G196</f>
        <v>102.62333333333333</v>
      </c>
      <c r="N45" s="3">
        <f>[1]Données!R98</f>
        <v>16.7</v>
      </c>
      <c r="O45" s="4">
        <f>[2]REVENUS!W81</f>
        <v>19556.5</v>
      </c>
      <c r="P45" s="4">
        <f>'[2]COMPTE SIMPL'!U82</f>
        <v>184.29586</v>
      </c>
      <c r="Q45" s="3">
        <f>'[2]COMPTE SIMPL'!AY82</f>
        <v>7.7114374679930435</v>
      </c>
      <c r="R45" s="4">
        <f>'[2]COMPTE SIMPL'!E82</f>
        <v>132.83600000000001</v>
      </c>
      <c r="S45" s="4">
        <f>'[3]CRE vol'!EJ98</f>
        <v>46134.6</v>
      </c>
    </row>
    <row r="46" spans="1:19" x14ac:dyDescent="0.25">
      <c r="A46" s="1">
        <v>43160</v>
      </c>
      <c r="B46" s="4">
        <f>[1]Données!J99</f>
        <v>290795.8</v>
      </c>
      <c r="C46" s="4">
        <f>[1]Données!K99</f>
        <v>161381.20000000001</v>
      </c>
      <c r="D46" s="4">
        <f>[1]Données!M99</f>
        <v>60334.3</v>
      </c>
      <c r="E46" s="4">
        <f>[1]Données!AJ99</f>
        <v>10664.144383999999</v>
      </c>
      <c r="F46" s="4">
        <f t="shared" si="0"/>
        <v>49670.155616000004</v>
      </c>
      <c r="G46" s="4"/>
      <c r="H46" s="4">
        <f>[1]Données!L99</f>
        <v>54365.7</v>
      </c>
      <c r="I46" s="4">
        <f>[1]Données!N99</f>
        <v>97912</v>
      </c>
      <c r="J46" s="4">
        <f>[1]Données!O99</f>
        <v>85917.3</v>
      </c>
      <c r="K46" s="4">
        <f>[1]Données!P99</f>
        <v>2719.8999999999651</v>
      </c>
      <c r="L46" s="3">
        <f>[2]PRIX!B197</f>
        <v>98.302880730045018</v>
      </c>
      <c r="M46" s="4">
        <f>[2]PRIX!G197</f>
        <v>101.72666666666667</v>
      </c>
      <c r="N46" s="3">
        <f>[1]Données!R99</f>
        <v>16.2</v>
      </c>
      <c r="O46" s="4">
        <f>[2]REVENUS!W82</f>
        <v>19609.400000000001</v>
      </c>
      <c r="P46" s="4">
        <f>'[2]COMPTE SIMPL'!U83</f>
        <v>184.09243999999995</v>
      </c>
      <c r="Q46" s="3">
        <f>'[2]COMPTE SIMPL'!AY83</f>
        <v>6.7017635270628109</v>
      </c>
      <c r="R46" s="4">
        <f>'[2]COMPTE SIMPL'!E83</f>
        <v>133.69200000000001</v>
      </c>
      <c r="S46" s="4">
        <f>'[3]CRE vol'!EJ99</f>
        <v>46182.8</v>
      </c>
    </row>
    <row r="47" spans="1:19" x14ac:dyDescent="0.25">
      <c r="A47" s="1">
        <v>43252</v>
      </c>
      <c r="B47" s="4">
        <f>[1]Données!J100</f>
        <v>292692.2</v>
      </c>
      <c r="C47" s="4">
        <f>[1]Données!K100</f>
        <v>162038.39999999999</v>
      </c>
      <c r="D47" s="4">
        <f>[1]Données!M100</f>
        <v>62747.6</v>
      </c>
      <c r="E47" s="4">
        <f>[1]Données!AJ100</f>
        <v>10748.526144000001</v>
      </c>
      <c r="F47" s="4">
        <f t="shared" si="0"/>
        <v>51999.073855999995</v>
      </c>
      <c r="G47" s="4"/>
      <c r="H47" s="4">
        <f>[1]Données!L100</f>
        <v>54721.599999999999</v>
      </c>
      <c r="I47" s="4">
        <f>[1]Données!N100</f>
        <v>97365.2</v>
      </c>
      <c r="J47" s="4">
        <f>[1]Données!O100</f>
        <v>86809.2</v>
      </c>
      <c r="K47" s="4">
        <f>[1]Données!P100</f>
        <v>2628.6000000000058</v>
      </c>
      <c r="L47" s="3">
        <f>[2]PRIX!B198</f>
        <v>98.29845064411353</v>
      </c>
      <c r="M47" s="4">
        <f>[2]PRIX!G198</f>
        <v>104.08</v>
      </c>
      <c r="N47" s="3">
        <f>[1]Données!R100</f>
        <v>15.5</v>
      </c>
      <c r="O47" s="4">
        <f>[2]REVENUS!W83</f>
        <v>19746.7</v>
      </c>
      <c r="P47" s="4">
        <f>'[2]COMPTE SIMPL'!U84</f>
        <v>184.83879999999999</v>
      </c>
      <c r="Q47" s="3">
        <f>'[2]COMPTE SIMPL'!AY84</f>
        <v>6.660289939125331</v>
      </c>
      <c r="R47" s="4">
        <f>'[2]COMPTE SIMPL'!E84</f>
        <v>135.46600000000001</v>
      </c>
      <c r="S47" s="4">
        <f>'[3]CRE vol'!EJ100</f>
        <v>46241</v>
      </c>
    </row>
    <row r="48" spans="1:19" x14ac:dyDescent="0.25">
      <c r="A48" s="1">
        <v>43344</v>
      </c>
      <c r="B48" s="4">
        <f>[1]Données!J101</f>
        <v>294326.2</v>
      </c>
      <c r="C48" s="4">
        <f>[1]Données!K101</f>
        <v>162000.20000000001</v>
      </c>
      <c r="D48" s="4">
        <f>[1]Données!M101</f>
        <v>63066.9</v>
      </c>
      <c r="E48" s="4">
        <f>[1]Données!AJ101</f>
        <v>11111.650944000001</v>
      </c>
      <c r="F48" s="4">
        <f t="shared" si="0"/>
        <v>51955.249056000001</v>
      </c>
      <c r="G48" s="4"/>
      <c r="H48" s="4">
        <f>[1]Données!L101</f>
        <v>55136.2</v>
      </c>
      <c r="I48" s="4">
        <f>[1]Données!N101</f>
        <v>97328.1</v>
      </c>
      <c r="J48" s="4">
        <f>[1]Données!O101</f>
        <v>86015.2</v>
      </c>
      <c r="K48" s="4">
        <f>[1]Données!P101</f>
        <v>2810.0000000000582</v>
      </c>
      <c r="L48" s="3">
        <f>[2]PRIX!B199</f>
        <v>99.025598525803716</v>
      </c>
      <c r="M48" s="4">
        <f>[2]PRIX!G199</f>
        <v>103.59333333333332</v>
      </c>
      <c r="N48" s="3">
        <f>[1]Données!R101</f>
        <v>14.8</v>
      </c>
      <c r="O48" s="4">
        <f>[2]REVENUS!W84</f>
        <v>19885.2</v>
      </c>
      <c r="P48" s="4">
        <f>'[2]COMPTE SIMPL'!U85</f>
        <v>186.40069</v>
      </c>
      <c r="Q48" s="3">
        <f>'[2]COMPTE SIMPL'!AY85</f>
        <v>6.7659030661313677</v>
      </c>
      <c r="R48" s="4">
        <f>'[2]COMPTE SIMPL'!E85</f>
        <v>137.68299999999999</v>
      </c>
      <c r="S48" s="4">
        <f>'[3]CRE vol'!EJ101</f>
        <v>46326.2</v>
      </c>
    </row>
    <row r="49" spans="1:19" x14ac:dyDescent="0.25">
      <c r="A49" s="1">
        <v>43435</v>
      </c>
      <c r="B49" s="4">
        <f>[1]Données!J102</f>
        <v>296049</v>
      </c>
      <c r="C49" s="4">
        <f>[1]Données!K102</f>
        <v>162191.1</v>
      </c>
      <c r="D49" s="4">
        <f>[1]Données!M102</f>
        <v>63269.599999999999</v>
      </c>
      <c r="E49" s="4">
        <f>[1]Données!AJ102</f>
        <v>11172.519103999999</v>
      </c>
      <c r="F49" s="4">
        <f t="shared" si="0"/>
        <v>52097.080895999999</v>
      </c>
      <c r="G49" s="4"/>
      <c r="H49" s="4">
        <f>[1]Données!L102</f>
        <v>55507.3</v>
      </c>
      <c r="I49" s="4">
        <f>[1]Données!N102</f>
        <v>98450.5</v>
      </c>
      <c r="J49" s="4">
        <f>[1]Données!O102</f>
        <v>86115.8</v>
      </c>
      <c r="K49" s="4">
        <f>[1]Données!P102</f>
        <v>2746.2999999999593</v>
      </c>
      <c r="L49" s="3">
        <f>[2]PRIX!B200</f>
        <v>99.389628876127475</v>
      </c>
      <c r="M49" s="4">
        <f>[2]PRIX!G200</f>
        <v>104.42999999999999</v>
      </c>
      <c r="N49" s="3">
        <f>[1]Données!R102</f>
        <v>14.6</v>
      </c>
      <c r="O49" s="4">
        <f>[2]REVENUS!W85</f>
        <v>19995.099999999999</v>
      </c>
      <c r="P49" s="4">
        <f>'[2]COMPTE SIMPL'!U86</f>
        <v>190.59106000000003</v>
      </c>
      <c r="Q49" s="3">
        <f>'[2]COMPTE SIMPL'!AY86</f>
        <v>8.4007403075464318</v>
      </c>
      <c r="R49" s="4">
        <f>'[2]COMPTE SIMPL'!E86</f>
        <v>139.23099999999999</v>
      </c>
      <c r="S49" s="4">
        <f>'[3]CRE vol'!EJ102</f>
        <v>46435.4</v>
      </c>
    </row>
    <row r="50" spans="1:19" x14ac:dyDescent="0.25">
      <c r="A50" s="1">
        <v>43525</v>
      </c>
      <c r="B50" s="4">
        <f>[1]Données!J103</f>
        <v>297864.3</v>
      </c>
      <c r="C50" s="4">
        <f>[1]Données!K103</f>
        <v>162052</v>
      </c>
      <c r="D50" s="4">
        <f>[1]Données!M103</f>
        <v>65099.5</v>
      </c>
      <c r="E50" s="4">
        <f>[1]Données!AJ103</f>
        <v>11436.138623999999</v>
      </c>
      <c r="F50" s="4">
        <f t="shared" si="0"/>
        <v>53663.361376000001</v>
      </c>
      <c r="G50" s="4"/>
      <c r="H50" s="4">
        <f>[1]Données!L103</f>
        <v>55827.199999999997</v>
      </c>
      <c r="I50" s="4">
        <f>[1]Données!N103</f>
        <v>100069.5</v>
      </c>
      <c r="J50" s="4">
        <f>[1]Données!O103</f>
        <v>87034</v>
      </c>
      <c r="K50" s="4">
        <f>[1]Données!P103</f>
        <v>1850.0999999999767</v>
      </c>
      <c r="L50" s="3">
        <f>[2]PRIX!B201</f>
        <v>99.375838841870731</v>
      </c>
      <c r="M50" s="4">
        <f>[2]PRIX!G201</f>
        <v>102.87666666666667</v>
      </c>
      <c r="N50" s="3">
        <f>[1]Données!R103</f>
        <v>14.2</v>
      </c>
      <c r="O50" s="4">
        <f>[2]REVENUS!W86</f>
        <v>20201.400000000001</v>
      </c>
      <c r="P50" s="4">
        <f>'[2]COMPTE SIMPL'!U87</f>
        <v>193.49839</v>
      </c>
      <c r="Q50" s="3">
        <f>'[2]COMPTE SIMPL'!AY87</f>
        <v>9.9573903431444766</v>
      </c>
      <c r="R50" s="4">
        <f>'[2]COMPTE SIMPL'!E87</f>
        <v>142.38499999999999</v>
      </c>
      <c r="S50" s="4">
        <f>'[3]CRE vol'!EJ103</f>
        <v>46522.8</v>
      </c>
    </row>
    <row r="51" spans="1:19" x14ac:dyDescent="0.25">
      <c r="A51" s="1">
        <v>43617</v>
      </c>
      <c r="B51" s="4">
        <f>[1]Données!J104</f>
        <v>298723.3</v>
      </c>
      <c r="C51" s="4">
        <f>[1]Données!K104</f>
        <v>160705</v>
      </c>
      <c r="D51" s="4">
        <f>[1]Données!M104</f>
        <v>65133.3</v>
      </c>
      <c r="E51" s="4">
        <f>[1]Données!AJ104</f>
        <v>11655.37088</v>
      </c>
      <c r="F51" s="4">
        <f t="shared" si="0"/>
        <v>53477.929120000001</v>
      </c>
      <c r="G51" s="4"/>
      <c r="H51" s="4">
        <f>[1]Données!L104</f>
        <v>56042.1</v>
      </c>
      <c r="I51" s="4">
        <f>[1]Données!N104</f>
        <v>102296.6</v>
      </c>
      <c r="J51" s="4">
        <f>[1]Données!O104</f>
        <v>87050.3</v>
      </c>
      <c r="K51" s="4">
        <f>[1]Données!P104</f>
        <v>1596.6000000000058</v>
      </c>
      <c r="L51" s="3">
        <f>[2]PRIX!B202</f>
        <v>99.715925569754603</v>
      </c>
      <c r="M51" s="4">
        <f>[2]PRIX!G202</f>
        <v>105.18333333333334</v>
      </c>
      <c r="N51" s="3">
        <f>[1]Données!R104</f>
        <v>14.2</v>
      </c>
      <c r="O51" s="4">
        <f>[2]REVENUS!W87</f>
        <v>20298.599999999999</v>
      </c>
      <c r="P51" s="4">
        <f>'[2]COMPTE SIMPL'!U88</f>
        <v>197.47735000000003</v>
      </c>
      <c r="Q51" s="3">
        <f>'[2]COMPTE SIMPL'!AY88</f>
        <v>12.268926031263854</v>
      </c>
      <c r="R51" s="4">
        <f>'[2]COMPTE SIMPL'!E88</f>
        <v>144.798</v>
      </c>
      <c r="S51" s="4">
        <f>'[3]CRE vol'!EJ104</f>
        <v>46599</v>
      </c>
    </row>
    <row r="52" spans="1:19" x14ac:dyDescent="0.25">
      <c r="A52" s="1">
        <v>43709</v>
      </c>
      <c r="B52" s="4">
        <f>[1]Données!J105</f>
        <v>299295.3</v>
      </c>
      <c r="C52" s="4">
        <f>[1]Données!K105</f>
        <v>166359.6</v>
      </c>
      <c r="D52" s="4">
        <f>[1]Données!M105</f>
        <v>65774</v>
      </c>
      <c r="E52" s="4">
        <f>[1]Données!AJ105</f>
        <v>11721.818175999999</v>
      </c>
      <c r="F52" s="4">
        <f t="shared" si="0"/>
        <v>54052.181823999999</v>
      </c>
      <c r="G52" s="4"/>
      <c r="H52" s="4">
        <f>[1]Données!L105</f>
        <v>56221.9</v>
      </c>
      <c r="I52" s="4">
        <f>[1]Données!N105</f>
        <v>98859</v>
      </c>
      <c r="J52" s="4">
        <f>[1]Données!O105</f>
        <v>88956.6</v>
      </c>
      <c r="K52" s="4">
        <f>[1]Données!P105</f>
        <v>1037.4000000000233</v>
      </c>
      <c r="L52" s="3">
        <f>[2]PRIX!B203</f>
        <v>99.555209880117076</v>
      </c>
      <c r="M52" s="4">
        <f>[2]PRIX!G203</f>
        <v>104.04333333333334</v>
      </c>
      <c r="N52" s="3">
        <f>[1]Données!R105</f>
        <v>14.1</v>
      </c>
      <c r="O52" s="4">
        <f>[2]REVENUS!W88</f>
        <v>20349.7</v>
      </c>
      <c r="P52" s="4">
        <f>'[2]COMPTE SIMPL'!U89</f>
        <v>193.52690000000001</v>
      </c>
      <c r="Q52" s="3">
        <f>'[2]COMPTE SIMPL'!AY89</f>
        <v>7.4573095523154844</v>
      </c>
      <c r="R52" s="4">
        <f>'[2]COMPTE SIMPL'!E89</f>
        <v>145.97900000000001</v>
      </c>
      <c r="S52" s="4">
        <f>'[3]CRE vol'!EJ105</f>
        <v>46702.400000000001</v>
      </c>
    </row>
    <row r="53" spans="1:19" x14ac:dyDescent="0.25">
      <c r="A53" s="1">
        <v>43800</v>
      </c>
      <c r="B53" s="4">
        <f>[1]Données!J106</f>
        <v>301003</v>
      </c>
      <c r="C53" s="4">
        <f>[1]Données!K106</f>
        <v>165887.79999999999</v>
      </c>
      <c r="D53" s="4">
        <f>[1]Données!M106</f>
        <v>65611.3</v>
      </c>
      <c r="E53" s="4">
        <f>[1]Données!AJ106</f>
        <v>11943.78656</v>
      </c>
      <c r="F53" s="4">
        <f t="shared" si="0"/>
        <v>53667.513440000002</v>
      </c>
      <c r="G53" s="4"/>
      <c r="H53" s="4">
        <f>[1]Données!L106</f>
        <v>56447.199999999997</v>
      </c>
      <c r="I53" s="4">
        <f>[1]Données!N106</f>
        <v>98686.3</v>
      </c>
      <c r="J53" s="4">
        <f>[1]Données!O106</f>
        <v>86363.3</v>
      </c>
      <c r="K53" s="4">
        <f>[1]Données!P106</f>
        <v>733.70000000001164</v>
      </c>
      <c r="L53" s="3">
        <f>[2]PRIX!B204</f>
        <v>100.25791302157303</v>
      </c>
      <c r="M53" s="4">
        <f>[2]PRIX!G204</f>
        <v>104.95333333333333</v>
      </c>
      <c r="N53" s="3">
        <f>[1]Données!R106</f>
        <v>13.9</v>
      </c>
      <c r="O53" s="4">
        <f>[2]REVENUS!W89</f>
        <v>20478.7</v>
      </c>
      <c r="P53" s="4">
        <f>'[2]COMPTE SIMPL'!U90</f>
        <v>197.96832999999998</v>
      </c>
      <c r="Q53" s="3">
        <f>'[2]COMPTE SIMPL'!AY90</f>
        <v>9.135466263720069</v>
      </c>
      <c r="R53" s="4">
        <f>'[2]COMPTE SIMPL'!E90</f>
        <v>147.03299999999999</v>
      </c>
      <c r="S53" s="4">
        <f>'[3]CRE vol'!EJ106</f>
        <v>46793.599999999999</v>
      </c>
    </row>
    <row r="54" spans="1:19" x14ac:dyDescent="0.25">
      <c r="A54" s="1">
        <v>43891</v>
      </c>
      <c r="B54" s="4">
        <f>[1]Données!J107</f>
        <v>285418.90000000002</v>
      </c>
      <c r="C54" s="4">
        <f>[1]Données!K107</f>
        <v>156102.9</v>
      </c>
      <c r="D54" s="4">
        <f>[1]Données!M107</f>
        <v>64267.5</v>
      </c>
      <c r="E54" s="4">
        <f>[1]Données!AJ107</f>
        <v>11615.61152</v>
      </c>
      <c r="F54" s="4">
        <f t="shared" si="0"/>
        <v>52651.888480000001</v>
      </c>
      <c r="G54" s="4"/>
      <c r="H54" s="4">
        <f>[1]Données!L107</f>
        <v>57029.3</v>
      </c>
      <c r="I54" s="4">
        <f>[1]Données!N107</f>
        <v>91383</v>
      </c>
      <c r="J54" s="4">
        <f>[1]Données!O107</f>
        <v>82552.600000000006</v>
      </c>
      <c r="K54" s="4">
        <f>[1]Données!P107</f>
        <v>-811.19999999998254</v>
      </c>
      <c r="L54" s="3">
        <f>[2]PRIX!B205</f>
        <v>100.2861984985431</v>
      </c>
      <c r="M54" s="4">
        <f>[2]PRIX!G205</f>
        <v>103.58666666666666</v>
      </c>
      <c r="N54" s="3">
        <f>[1]Données!R107</f>
        <v>14</v>
      </c>
      <c r="O54" s="4">
        <f>[2]REVENUS!W90</f>
        <v>20243.8</v>
      </c>
      <c r="P54" s="4">
        <f>'[2]COMPTE SIMPL'!U91</f>
        <v>196.74657000000002</v>
      </c>
      <c r="Q54" s="3">
        <f>'[2]COMPTE SIMPL'!AY91</f>
        <v>13.943099490883151</v>
      </c>
      <c r="R54" s="4">
        <f>'[2]COMPTE SIMPL'!E91</f>
        <v>146.66200000000001</v>
      </c>
      <c r="S54" s="4">
        <f>'[3]CRE vol'!EJ107</f>
        <v>46874.400000000001</v>
      </c>
    </row>
    <row r="55" spans="1:19" x14ac:dyDescent="0.25">
      <c r="A55" s="1">
        <v>43983</v>
      </c>
      <c r="B55" s="4">
        <f>[1]Données!J108</f>
        <v>234641.8</v>
      </c>
      <c r="C55" s="4">
        <f>[1]Données!K108</f>
        <v>122578</v>
      </c>
      <c r="D55" s="4">
        <f>[1]Données!M108</f>
        <v>51533.5</v>
      </c>
      <c r="E55" s="4">
        <f>[1]Données!AJ108</f>
        <v>9427.403839999999</v>
      </c>
      <c r="F55" s="4">
        <f t="shared" si="0"/>
        <v>42106.096160000001</v>
      </c>
      <c r="G55" s="4"/>
      <c r="H55" s="4">
        <f>[1]Données!L108</f>
        <v>57557.5</v>
      </c>
      <c r="I55" s="4">
        <f>[1]Données!N108</f>
        <v>63150.9</v>
      </c>
      <c r="J55" s="4">
        <f>[1]Données!O108</f>
        <v>59221</v>
      </c>
      <c r="K55" s="4">
        <f>[1]Données!P108</f>
        <v>-957.10000000000582</v>
      </c>
      <c r="L55" s="3">
        <f>[2]PRIX!B206</f>
        <v>99.206055961211106</v>
      </c>
      <c r="M55" s="4">
        <f>[2]PRIX!G206</f>
        <v>104.54333333333334</v>
      </c>
      <c r="N55" s="3">
        <f>[1]Données!R108</f>
        <v>15.6</v>
      </c>
      <c r="O55" s="4">
        <f>[2]REVENUS!W91</f>
        <v>18777.099999999999</v>
      </c>
      <c r="P55" s="4">
        <f>'[2]COMPTE SIMPL'!U92</f>
        <v>181.48652000000001</v>
      </c>
      <c r="Q55" s="3">
        <f>'[2]COMPTE SIMPL'!AY92</f>
        <v>27.871227020056384</v>
      </c>
      <c r="R55" s="4">
        <f>'[2]COMPTE SIMPL'!E92</f>
        <v>127.83799999999999</v>
      </c>
      <c r="S55" s="4">
        <f>'[3]CRE vol'!EJ108</f>
        <v>46895.8</v>
      </c>
    </row>
    <row r="56" spans="1:19" x14ac:dyDescent="0.25">
      <c r="A56" s="1">
        <v>44075</v>
      </c>
      <c r="B56" s="4">
        <f>[1]Données!J109</f>
        <v>271955.09999999998</v>
      </c>
      <c r="C56" s="4">
        <f>[1]Données!K109</f>
        <v>148031.4</v>
      </c>
      <c r="D56" s="4">
        <f>[1]Données!M109</f>
        <v>61142.8</v>
      </c>
      <c r="E56" s="4">
        <f>[1]Données!AJ109</f>
        <v>10928.490688</v>
      </c>
      <c r="F56" s="4">
        <f t="shared" si="0"/>
        <v>50214.309312000005</v>
      </c>
      <c r="G56" s="4"/>
      <c r="H56" s="4">
        <f>[1]Données!L109</f>
        <v>58398</v>
      </c>
      <c r="I56" s="4">
        <f>[1]Données!N109</f>
        <v>80548.2</v>
      </c>
      <c r="J56" s="4">
        <f>[1]Données!O109</f>
        <v>75095.399999999994</v>
      </c>
      <c r="K56" s="4">
        <f>[1]Données!P109</f>
        <v>-1069.8999999999942</v>
      </c>
      <c r="L56" s="3">
        <f>[2]PRIX!B207</f>
        <v>99.667624111937684</v>
      </c>
      <c r="M56" s="4">
        <f>[2]PRIX!G207</f>
        <v>103.38333333333333</v>
      </c>
      <c r="N56" s="3">
        <f>[1]Données!R109</f>
        <v>16.399999999999999</v>
      </c>
      <c r="O56" s="4">
        <f>[2]REVENUS!W92</f>
        <v>19320.900000000001</v>
      </c>
      <c r="P56" s="4">
        <f>'[2]COMPTE SIMPL'!U93</f>
        <v>198.40358000000003</v>
      </c>
      <c r="Q56" s="3">
        <f>'[2]COMPTE SIMPL'!AY93</f>
        <v>19.590160621093645</v>
      </c>
      <c r="R56" s="4">
        <f>'[2]COMPTE SIMPL'!E93</f>
        <v>142.30000000000001</v>
      </c>
      <c r="S56" s="4">
        <f>'[3]CRE vol'!EJ109</f>
        <v>46903.7</v>
      </c>
    </row>
    <row r="57" spans="1:19" x14ac:dyDescent="0.25">
      <c r="A57" s="1">
        <v>44166</v>
      </c>
      <c r="B57" s="4">
        <f>[1]Données!J110</f>
        <v>273928.90000000002</v>
      </c>
      <c r="C57" s="4">
        <f>[1]Données!K110</f>
        <v>149223.9</v>
      </c>
      <c r="D57" s="4">
        <f>[1]Données!M110</f>
        <v>61316.800000000003</v>
      </c>
      <c r="E57" s="4">
        <f>[1]Données!AJ110</f>
        <v>10780.493951999999</v>
      </c>
      <c r="F57" s="4">
        <f t="shared" si="0"/>
        <v>50536.306048000006</v>
      </c>
      <c r="G57" s="4"/>
      <c r="H57" s="4">
        <f>[1]Données!L110</f>
        <v>59442.1</v>
      </c>
      <c r="I57" s="4">
        <f>[1]Données!N110</f>
        <v>84452.800000000003</v>
      </c>
      <c r="J57" s="4">
        <f>[1]Données!O110</f>
        <v>79605.8</v>
      </c>
      <c r="K57" s="4">
        <f>[1]Données!P110</f>
        <v>-900.89999999996508</v>
      </c>
      <c r="L57" s="3">
        <f>[2]PRIX!B208</f>
        <v>99.731324463533454</v>
      </c>
      <c r="M57" s="4">
        <f>[2]PRIX!G208</f>
        <v>104.13666666666666</v>
      </c>
      <c r="N57" s="3">
        <f>[1]Données!R110</f>
        <v>16.2</v>
      </c>
      <c r="O57" s="4">
        <f>[2]REVENUS!W93</f>
        <v>19588.599999999999</v>
      </c>
      <c r="P57" s="4">
        <f>'[2]COMPTE SIMPL'!U94</f>
        <v>192.82336999999995</v>
      </c>
      <c r="Q57" s="3">
        <f>'[2]COMPTE SIMPL'!AY94</f>
        <v>16.540718067524683</v>
      </c>
      <c r="R57" s="4">
        <f>'[2]COMPTE SIMPL'!E94</f>
        <v>143.89599999999999</v>
      </c>
      <c r="S57" s="4">
        <f>'[3]CRE vol'!EJ110</f>
        <v>46910.1</v>
      </c>
    </row>
    <row r="58" spans="1:19" x14ac:dyDescent="0.25">
      <c r="A58" s="1">
        <v>44256</v>
      </c>
      <c r="B58" s="4">
        <f>[1]Données!J111</f>
        <v>277220.59999999998</v>
      </c>
      <c r="C58" s="4">
        <f>[1]Données!K111</f>
        <v>149210.29999999999</v>
      </c>
      <c r="D58" s="4">
        <f>[1]Données!M111</f>
        <v>60919.7</v>
      </c>
      <c r="E58" s="4">
        <f>[1]Données!AJ111</f>
        <v>10705.731391999998</v>
      </c>
      <c r="F58" s="4">
        <f t="shared" si="0"/>
        <v>50213.968607999996</v>
      </c>
      <c r="G58" s="4"/>
      <c r="H58" s="4">
        <f>[1]Données!L111</f>
        <v>59913.4</v>
      </c>
      <c r="I58" s="4">
        <f>[1]Données!N111</f>
        <v>85922.4</v>
      </c>
      <c r="J58" s="4">
        <f>[1]Données!O111</f>
        <v>80786</v>
      </c>
      <c r="K58" s="4">
        <f>[1]Données!P111</f>
        <v>2040.7999999999593</v>
      </c>
      <c r="L58" s="3">
        <f>[2]PRIX!B209</f>
        <v>101.0679742392126</v>
      </c>
      <c r="M58" s="4">
        <f>[2]PRIX!G209</f>
        <v>104.12</v>
      </c>
      <c r="N58" s="3">
        <f>[1]Données!R111</f>
        <v>15.7</v>
      </c>
      <c r="O58" s="4">
        <f>[2]REVENUS!W94</f>
        <v>19705.8</v>
      </c>
      <c r="P58" s="4">
        <f>'[2]COMPTE SIMPL'!U95</f>
        <v>197.60936999999998</v>
      </c>
      <c r="Q58" s="3">
        <f>'[2]COMPTE SIMPL'!AY95</f>
        <v>17.512514715268818</v>
      </c>
      <c r="R58" s="4">
        <f>'[2]COMPTE SIMPL'!E95</f>
        <v>146.15799999999999</v>
      </c>
      <c r="S58" s="4">
        <f>'[3]CRE vol'!EJ111</f>
        <v>46877.599999999999</v>
      </c>
    </row>
    <row r="59" spans="1:19" x14ac:dyDescent="0.25">
      <c r="A59" s="1">
        <v>44348</v>
      </c>
      <c r="B59" s="4">
        <f>[1]Données!J112</f>
        <v>281021</v>
      </c>
      <c r="C59" s="4">
        <f>[1]Données!K112</f>
        <v>153437</v>
      </c>
      <c r="D59" s="4">
        <f>[1]Données!M112</f>
        <v>60682.3</v>
      </c>
      <c r="E59" s="4">
        <f>[1]Données!AJ112</f>
        <v>10661.06624</v>
      </c>
      <c r="F59" s="4">
        <f t="shared" si="0"/>
        <v>50021.233760000003</v>
      </c>
      <c r="G59" s="4"/>
      <c r="H59" s="4">
        <f>[1]Données!L112</f>
        <v>60286.400000000001</v>
      </c>
      <c r="I59" s="4">
        <f>[1]Données!N112</f>
        <v>88195.9</v>
      </c>
      <c r="J59" s="4">
        <f>[1]Données!O112</f>
        <v>83904.1</v>
      </c>
      <c r="K59" s="4">
        <f>[1]Données!P112</f>
        <v>2323.4999999999709</v>
      </c>
      <c r="L59" s="3">
        <f>[2]PRIX!B210</f>
        <v>100.20366669744959</v>
      </c>
      <c r="M59" s="4">
        <f>[2]PRIX!G210</f>
        <v>106.93333333333334</v>
      </c>
      <c r="N59" s="3">
        <f>[1]Données!R112</f>
        <v>15.7</v>
      </c>
      <c r="O59" s="4">
        <f>[2]REVENUS!W95</f>
        <v>19618.2</v>
      </c>
      <c r="P59" s="4">
        <f>'[2]COMPTE SIMPL'!U96</f>
        <v>195.88814999999997</v>
      </c>
      <c r="Q59" s="3">
        <f>'[2]COMPTE SIMPL'!AY96</f>
        <v>15.108698509838376</v>
      </c>
      <c r="R59" s="4">
        <f>'[2]COMPTE SIMPL'!E96</f>
        <v>145.38399999999999</v>
      </c>
      <c r="S59" s="4">
        <f>'[3]CRE vol'!EJ112</f>
        <v>46816</v>
      </c>
    </row>
    <row r="60" spans="1:19" x14ac:dyDescent="0.25">
      <c r="A60" s="1">
        <v>44440</v>
      </c>
      <c r="B60" s="4">
        <f>[1]Données!J113</f>
        <v>286560.2</v>
      </c>
      <c r="C60" s="4">
        <f>[1]Données!K113</f>
        <v>155875.70000000001</v>
      </c>
      <c r="D60" s="4">
        <f>[1]Données!M113</f>
        <v>61076.3</v>
      </c>
      <c r="E60" s="4">
        <f>[1]Données!AJ113</f>
        <v>10695.225087999999</v>
      </c>
      <c r="F60" s="4">
        <f t="shared" si="0"/>
        <v>50381.074912000004</v>
      </c>
      <c r="G60" s="4"/>
      <c r="H60" s="4">
        <f>[1]Données!L113</f>
        <v>60470</v>
      </c>
      <c r="I60" s="4">
        <f>[1]Données!N113</f>
        <v>92290.9</v>
      </c>
      <c r="J60" s="4">
        <f>[1]Données!O113</f>
        <v>86057.8</v>
      </c>
      <c r="K60" s="4">
        <f>[1]Données!P113</f>
        <v>2905.0999999999767</v>
      </c>
      <c r="L60" s="3">
        <f>[2]PRIX!B211</f>
        <v>101.81689945238118</v>
      </c>
      <c r="M60" s="4">
        <f>[2]PRIX!G211</f>
        <v>106.90000000000002</v>
      </c>
      <c r="N60" s="3">
        <f>[1]Données!R113</f>
        <v>14.9</v>
      </c>
      <c r="O60" s="4">
        <f>[2]REVENUS!W96</f>
        <v>20078.7</v>
      </c>
      <c r="P60" s="4">
        <f>'[2]COMPTE SIMPL'!U97</f>
        <v>204.15025999999997</v>
      </c>
      <c r="Q60" s="3">
        <f>'[2]COMPTE SIMPL'!AY97</f>
        <v>15.887444865365334</v>
      </c>
      <c r="R60" s="4">
        <f>'[2]COMPTE SIMPL'!E97</f>
        <v>153.22200000000001</v>
      </c>
      <c r="S60" s="4">
        <f>'[3]CRE vol'!EJ113</f>
        <v>46799.3</v>
      </c>
    </row>
    <row r="61" spans="1:19" x14ac:dyDescent="0.25">
      <c r="A61" s="1">
        <v>44531</v>
      </c>
      <c r="B61" s="4">
        <f>[1]Données!J114</f>
        <v>292381.7</v>
      </c>
      <c r="C61" s="4">
        <f>[1]Données!K114</f>
        <v>158334.39999999999</v>
      </c>
      <c r="D61" s="4">
        <f>[1]Données!M114</f>
        <v>61861.3</v>
      </c>
      <c r="E61" s="4">
        <f>[1]Données!AJ114</f>
        <v>11042.713344</v>
      </c>
      <c r="F61" s="4">
        <f t="shared" si="0"/>
        <v>50818.586655999999</v>
      </c>
      <c r="G61" s="4"/>
      <c r="H61" s="4">
        <f>[1]Données!L114</f>
        <v>60187</v>
      </c>
      <c r="I61" s="4">
        <f>[1]Données!N114</f>
        <v>95903.1</v>
      </c>
      <c r="J61" s="4">
        <f>[1]Données!O114</f>
        <v>90142.2</v>
      </c>
      <c r="K61" s="4">
        <f>[1]Données!P114</f>
        <v>6238.100000000064</v>
      </c>
      <c r="L61" s="3">
        <f>[2]PRIX!B212</f>
        <v>104.19612038502079</v>
      </c>
      <c r="M61" s="4">
        <f>[2]PRIX!G212</f>
        <v>110.2</v>
      </c>
      <c r="N61" s="3">
        <f>[1]Données!R114</f>
        <v>13.6</v>
      </c>
      <c r="O61" s="4">
        <f>[2]REVENUS!W97</f>
        <v>20307.3</v>
      </c>
      <c r="P61" s="4">
        <f>'[2]COMPTE SIMPL'!U98</f>
        <v>205.57420999999999</v>
      </c>
      <c r="Q61" s="3">
        <f>'[2]COMPTE SIMPL'!AY98</f>
        <v>13.132586037908156</v>
      </c>
      <c r="R61" s="4">
        <f>'[2]COMPTE SIMPL'!E98</f>
        <v>154.59899999999999</v>
      </c>
      <c r="S61" s="4">
        <f>'[3]CRE vol'!EJ114</f>
        <v>46849</v>
      </c>
    </row>
    <row r="62" spans="1:19" x14ac:dyDescent="0.25">
      <c r="A62" s="1">
        <v>44621</v>
      </c>
      <c r="B62" s="4">
        <f>[1]Données!J115</f>
        <v>296308.59999999998</v>
      </c>
      <c r="C62" s="4">
        <f>[1]Données!K115</f>
        <v>160153.20000000001</v>
      </c>
      <c r="D62" s="4">
        <f>[1]Données!M115</f>
        <v>63216.4</v>
      </c>
      <c r="E62" s="4">
        <f>[1]Données!AJ115</f>
        <v>11422.404544000001</v>
      </c>
      <c r="F62" s="4">
        <f t="shared" si="0"/>
        <v>51793.995456000004</v>
      </c>
      <c r="G62" s="4"/>
      <c r="H62" s="4">
        <f>[1]Données!L115</f>
        <v>60272.2</v>
      </c>
      <c r="I62" s="4">
        <f>[1]Données!N115</f>
        <v>98293.6</v>
      </c>
      <c r="J62" s="4">
        <f>[1]Données!O115</f>
        <v>90615.3</v>
      </c>
      <c r="K62" s="4">
        <f>[1]Données!P115</f>
        <v>4988.4999999999418</v>
      </c>
      <c r="L62" s="3">
        <f>[2]PRIX!B213</f>
        <v>105.71896774144295</v>
      </c>
      <c r="M62" s="4">
        <f>[2]PRIX!G213</f>
        <v>112.30666666666667</v>
      </c>
      <c r="N62" s="3">
        <f>[1]Données!R115</f>
        <v>13.3</v>
      </c>
      <c r="O62" s="4">
        <f>[2]REVENUS!W98</f>
        <v>20428.400000000001</v>
      </c>
      <c r="P62" s="4">
        <f>'[2]COMPTE SIMPL'!U99</f>
        <v>205.08620000000002</v>
      </c>
      <c r="Q62" s="3">
        <f>'[2]COMPTE SIMPL'!AY99</f>
        <v>10.642939407917261</v>
      </c>
      <c r="R62" s="4">
        <f>'[2]COMPTE SIMPL'!E99</f>
        <v>156.88399999999999</v>
      </c>
      <c r="S62" s="4">
        <f>'[3]CRE vol'!EJ115</f>
        <v>46876.800000000003</v>
      </c>
    </row>
    <row r="63" spans="1:19" x14ac:dyDescent="0.25">
      <c r="A63" s="1">
        <v>44713</v>
      </c>
      <c r="B63" s="4">
        <f>[1]Données!J116</f>
        <v>301419.2</v>
      </c>
      <c r="C63" s="4">
        <f>[1]Données!K116</f>
        <v>162484.70000000001</v>
      </c>
      <c r="D63" s="4">
        <f>[1]Données!M116</f>
        <v>63342.3</v>
      </c>
      <c r="E63" s="4">
        <f>[1]Données!AJ116</f>
        <v>11689.09152</v>
      </c>
      <c r="F63" s="4">
        <f t="shared" si="0"/>
        <v>51653.208480000001</v>
      </c>
      <c r="G63" s="4"/>
      <c r="H63" s="4">
        <f>[1]Données!L116</f>
        <v>59804.6</v>
      </c>
      <c r="I63" s="4">
        <f>[1]Données!N116</f>
        <v>104754.9</v>
      </c>
      <c r="J63" s="4">
        <f>[1]Données!O116</f>
        <v>94041.7</v>
      </c>
      <c r="K63" s="4">
        <f>[1]Données!P116</f>
        <v>5074.3999999999942</v>
      </c>
      <c r="L63" s="3">
        <f>[2]PRIX!B214</f>
        <v>106.93882129554409</v>
      </c>
      <c r="M63" s="4">
        <f>[2]PRIX!G214</f>
        <v>116.48666666666668</v>
      </c>
      <c r="N63" s="3">
        <f>[1]Données!R116</f>
        <v>13</v>
      </c>
      <c r="O63" s="4">
        <f>[2]REVENUS!W99</f>
        <v>20286.400000000001</v>
      </c>
      <c r="P63" s="4">
        <f>'[2]COMPTE SIMPL'!U100</f>
        <v>203.98140000000001</v>
      </c>
      <c r="Q63" s="3">
        <f>'[2]COMPTE SIMPL'!AY100</f>
        <v>7.7896317997621223</v>
      </c>
      <c r="R63" s="4">
        <f>'[2]COMPTE SIMPL'!E100</f>
        <v>157.69999999999999</v>
      </c>
      <c r="S63" s="4">
        <f>'[3]CRE vol'!EJ116</f>
        <v>46934.5</v>
      </c>
    </row>
    <row r="64" spans="1:19" x14ac:dyDescent="0.25">
      <c r="A64" s="1">
        <v>44805</v>
      </c>
      <c r="B64" s="4">
        <f>[1]Données!J117</f>
        <v>303994.40000000002</v>
      </c>
      <c r="C64" s="4">
        <f>[1]Données!K117</f>
        <v>163202.79999999999</v>
      </c>
      <c r="D64" s="4">
        <f>[1]Données!M117</f>
        <v>63944</v>
      </c>
      <c r="E64" s="4">
        <f>[1]Données!AJ117</f>
        <v>11851.346048000001</v>
      </c>
      <c r="F64" s="4">
        <f t="shared" si="0"/>
        <v>52092.653952000001</v>
      </c>
      <c r="G64" s="4"/>
      <c r="H64" s="4">
        <f>[1]Données!L117</f>
        <v>60489.9</v>
      </c>
      <c r="I64" s="4">
        <f>[1]Données!N117</f>
        <v>105086.3</v>
      </c>
      <c r="J64" s="4">
        <f>[1]Données!O117</f>
        <v>92450</v>
      </c>
      <c r="K64" s="4">
        <f>[1]Données!P117</f>
        <v>3721.4000000000524</v>
      </c>
      <c r="L64" s="3">
        <f>[2]PRIX!B215</f>
        <v>109.66909085045185</v>
      </c>
      <c r="M64" s="4">
        <f>[2]PRIX!G215</f>
        <v>117.64333333333333</v>
      </c>
      <c r="N64" s="3">
        <f>[1]Données!R117</f>
        <v>12.8</v>
      </c>
      <c r="O64" s="4">
        <f>[2]REVENUS!W100</f>
        <v>20501.8</v>
      </c>
      <c r="P64" s="4">
        <f>'[2]COMPTE SIMPL'!U101</f>
        <v>210.31215999999998</v>
      </c>
      <c r="Q64" s="3">
        <f>'[2]COMPTE SIMPL'!AY101</f>
        <v>7.8902522802295474</v>
      </c>
      <c r="R64" s="4">
        <f>'[2]COMPTE SIMPL'!E101</f>
        <v>163.11799999999999</v>
      </c>
      <c r="S64" s="4">
        <f>'[3]CRE vol'!EJ117</f>
        <v>47054.1</v>
      </c>
    </row>
    <row r="65" spans="1:19" x14ac:dyDescent="0.25">
      <c r="A65" s="1">
        <v>44896</v>
      </c>
      <c r="B65" s="4">
        <f>[1]Données!J118</f>
        <v>305730.40000000002</v>
      </c>
      <c r="C65" s="4">
        <f>[1]Données!K118</f>
        <v>160926.70000000001</v>
      </c>
      <c r="D65" s="4">
        <f>[1]Données!M118</f>
        <v>61991.3</v>
      </c>
      <c r="E65" s="4">
        <f>[1]Données!AJ118</f>
        <v>11756.233536</v>
      </c>
      <c r="F65" s="4">
        <f t="shared" si="0"/>
        <v>50235.066464000003</v>
      </c>
      <c r="G65" s="4"/>
      <c r="H65" s="4">
        <f>[1]Données!L118</f>
        <v>61659.8</v>
      </c>
      <c r="I65" s="4">
        <f>[1]Données!N118</f>
        <v>106035.1</v>
      </c>
      <c r="J65" s="4">
        <f>[1]Données!O118</f>
        <v>90179.3</v>
      </c>
      <c r="K65" s="4">
        <f>[1]Données!P118</f>
        <v>5296.7999999999884</v>
      </c>
      <c r="L65" s="3">
        <f>[2]PRIX!B216</f>
        <v>111.41533175684476</v>
      </c>
      <c r="M65" s="4">
        <f>[2]PRIX!G216</f>
        <v>117.34999999999998</v>
      </c>
      <c r="N65" s="3">
        <f>[1]Données!R118</f>
        <v>13.1</v>
      </c>
      <c r="O65" s="4">
        <f>[2]REVENUS!W101</f>
        <v>20629.8</v>
      </c>
      <c r="P65" s="4">
        <f>'[2]COMPTE SIMPL'!U102</f>
        <v>217.98524</v>
      </c>
      <c r="Q65" s="3">
        <f>'[2]COMPTE SIMPL'!AY102</f>
        <v>11.034343426187959</v>
      </c>
      <c r="R65" s="4">
        <f>'[2]COMPTE SIMPL'!E102</f>
        <v>165.345</v>
      </c>
      <c r="S65" s="4">
        <f>'[3]CRE vol'!EJ118</f>
        <v>47207</v>
      </c>
    </row>
    <row r="66" spans="1:19" x14ac:dyDescent="0.25">
      <c r="A66" s="1">
        <v>44986</v>
      </c>
      <c r="B66" s="4">
        <f>[1]Données!J119</f>
        <v>307785.40000000002</v>
      </c>
      <c r="C66" s="4">
        <f>[1]Données!K119</f>
        <v>162830.1</v>
      </c>
      <c r="D66" s="4">
        <f>[1]Données!M119</f>
        <v>64426.1</v>
      </c>
      <c r="E66" s="4">
        <f>[1]Données!AJ119</f>
        <v>11850.437567999999</v>
      </c>
      <c r="F66" s="4">
        <f t="shared" si="0"/>
        <v>52575.662431999997</v>
      </c>
      <c r="G66" s="4"/>
      <c r="H66" s="4">
        <f>[1]Données!L119</f>
        <v>62313.9</v>
      </c>
      <c r="I66" s="4">
        <f>[1]Données!N119</f>
        <v>107138</v>
      </c>
      <c r="J66" s="4">
        <f>[1]Données!O119</f>
        <v>92218.8</v>
      </c>
      <c r="K66" s="4">
        <f>[1]Données!P119</f>
        <v>3296.1000000000058</v>
      </c>
      <c r="L66" s="3">
        <f>[2]PRIX!B217</f>
        <v>112.53024223859683</v>
      </c>
      <c r="M66" s="4">
        <f>[2]PRIX!G217</f>
        <v>117.86666666666667</v>
      </c>
      <c r="N66" s="3">
        <f>[1]Données!R119</f>
        <v>12.9</v>
      </c>
      <c r="O66" s="4">
        <f>[2]REVENUS!W102</f>
        <v>20824.099999999999</v>
      </c>
      <c r="P66" s="4">
        <f>'[2]COMPTE SIMPL'!U103</f>
        <v>224.40664000000004</v>
      </c>
      <c r="Q66" s="3">
        <f>'[2]COMPTE SIMPL'!AY103</f>
        <v>11.641206338635977</v>
      </c>
      <c r="R66" s="4">
        <f>'[2]COMPTE SIMPL'!E103</f>
        <v>169.857</v>
      </c>
      <c r="S66" s="4">
        <f>'[3]CRE vol'!EJ119</f>
        <v>47350.7</v>
      </c>
    </row>
    <row r="67" spans="1:19" x14ac:dyDescent="0.25">
      <c r="A67" s="1">
        <v>45078</v>
      </c>
      <c r="B67" s="4">
        <f>[1]Données!J120</f>
        <v>308542.40000000002</v>
      </c>
      <c r="C67" s="4">
        <f>[1]Données!K120</f>
        <v>164115.29999999999</v>
      </c>
      <c r="D67" s="4">
        <f>[1]Données!M120</f>
        <v>64431.199999999997</v>
      </c>
      <c r="E67" s="4">
        <f>[1]Données!AJ120</f>
        <v>11880.759424</v>
      </c>
      <c r="F67" s="4">
        <f t="shared" ref="F67:F77" si="1">D67-E67</f>
        <v>52550.440575999994</v>
      </c>
      <c r="G67" s="4"/>
      <c r="H67" s="4">
        <f>[1]Données!L120</f>
        <v>63410</v>
      </c>
      <c r="I67" s="4">
        <f>[1]Données!N120</f>
        <v>106673.8</v>
      </c>
      <c r="J67" s="4">
        <f>[1]Données!O120</f>
        <v>92595.9</v>
      </c>
      <c r="K67" s="4">
        <f>[1]Données!P120</f>
        <v>2508.0000000000582</v>
      </c>
      <c r="L67" s="3">
        <f>[2]PRIX!B218</f>
        <v>113.6033296154561</v>
      </c>
      <c r="M67" s="4">
        <f>[2]PRIX!G218</f>
        <v>119.72666666666667</v>
      </c>
      <c r="N67" s="3">
        <f>[1]Données!R120</f>
        <v>12</v>
      </c>
      <c r="O67" s="4">
        <f>[2]REVENUS!W103</f>
        <v>21056.9</v>
      </c>
      <c r="P67" s="4">
        <f>'[2]COMPTE SIMPL'!U104</f>
        <v>227.76712000000001</v>
      </c>
      <c r="Q67" s="3">
        <f>'[2]COMPTE SIMPL'!AY104</f>
        <v>11.495566173027967</v>
      </c>
      <c r="R67" s="4">
        <f>'[2]COMPTE SIMPL'!E104</f>
        <v>172.489</v>
      </c>
      <c r="S67" s="4">
        <f>'[3]CRE vol'!EJ120</f>
        <v>47487.9</v>
      </c>
    </row>
    <row r="68" spans="1:19" x14ac:dyDescent="0.25">
      <c r="A68" s="1">
        <v>45170</v>
      </c>
      <c r="B68" s="4">
        <f>[1]Données!J121</f>
        <v>310574.8</v>
      </c>
      <c r="C68" s="4">
        <f>[1]Données!K121</f>
        <v>165434.20000000001</v>
      </c>
      <c r="D68" s="4">
        <f>[1]Données!M121</f>
        <v>64133.4</v>
      </c>
      <c r="E68" s="4">
        <f>[1]Données!AJ121</f>
        <v>11917.248255999999</v>
      </c>
      <c r="F68" s="4">
        <f t="shared" si="1"/>
        <v>52216.151744000003</v>
      </c>
      <c r="G68" s="4"/>
      <c r="H68" s="4">
        <f>[1]Données!L121</f>
        <v>64383</v>
      </c>
      <c r="I68" s="4">
        <f>[1]Données!N121</f>
        <v>105103</v>
      </c>
      <c r="J68" s="4">
        <f>[1]Données!O121</f>
        <v>91262.5</v>
      </c>
      <c r="K68" s="4">
        <f>[1]Données!P121</f>
        <v>2783.6999999999825</v>
      </c>
      <c r="L68" s="3">
        <f>[2]PRIX!B219</f>
        <v>114.60593812428061</v>
      </c>
      <c r="M68" s="4">
        <f>[2]PRIX!G219</f>
        <v>120.69666666666667</v>
      </c>
      <c r="N68" s="3">
        <f>[1]Données!R121</f>
        <v>12</v>
      </c>
      <c r="O68" s="4">
        <f>[2]REVENUS!W104</f>
        <v>21247.3</v>
      </c>
      <c r="P68" s="4">
        <f>'[2]COMPTE SIMPL'!U105</f>
        <v>234.80141</v>
      </c>
      <c r="Q68" s="3">
        <f>'[2]COMPTE SIMPL'!AY105</f>
        <v>12.67684465778976</v>
      </c>
      <c r="R68" s="4">
        <f>'[2]COMPTE SIMPL'!E105</f>
        <v>178.01900000000001</v>
      </c>
      <c r="S68" s="4">
        <f>'[3]CRE vol'!EJ121</f>
        <v>47669.9</v>
      </c>
    </row>
    <row r="69" spans="1:19" x14ac:dyDescent="0.25">
      <c r="A69" s="1">
        <v>45261</v>
      </c>
      <c r="B69" s="4">
        <f>[1]Données!J122</f>
        <v>312857.3</v>
      </c>
      <c r="C69" s="4">
        <f>[1]Données!K122</f>
        <v>165728.70000000001</v>
      </c>
      <c r="D69" s="4">
        <f>[1]Données!M122</f>
        <v>64897.9</v>
      </c>
      <c r="E69" s="4">
        <f>[1]Données!AJ122</f>
        <v>12067.71392</v>
      </c>
      <c r="F69" s="4">
        <f t="shared" si="1"/>
        <v>52830.186079999999</v>
      </c>
      <c r="G69" s="4"/>
      <c r="H69" s="4">
        <f>[1]Données!L122</f>
        <v>64772.1</v>
      </c>
      <c r="I69" s="4">
        <f>[1]Données!N122</f>
        <v>106771.3</v>
      </c>
      <c r="J69" s="4">
        <f>[1]Données!O122</f>
        <v>92246</v>
      </c>
      <c r="K69" s="4">
        <f>[1]Données!P122</f>
        <v>2933.2999999999884</v>
      </c>
      <c r="L69" s="3">
        <f>[2]PRIX!B220</f>
        <v>116.74924553682767</v>
      </c>
      <c r="M69" s="4">
        <f>[2]PRIX!G220</f>
        <v>121.26666666666667</v>
      </c>
      <c r="N69" s="3">
        <f>[1]Données!R122</f>
        <v>11.9</v>
      </c>
      <c r="O69" s="4">
        <f>[2]REVENUS!W105</f>
        <v>21326.9</v>
      </c>
      <c r="P69" s="4">
        <f>'[2]COMPTE SIMPL'!U106</f>
        <v>237.76781999999997</v>
      </c>
      <c r="Q69" s="3">
        <f>'[2]COMPTE SIMPL'!AY106</f>
        <v>12.0095393901496</v>
      </c>
      <c r="R69" s="4">
        <f>'[2]COMPTE SIMPL'!E106</f>
        <v>179.31899999999999</v>
      </c>
      <c r="S69" s="4">
        <f>'[3]CRE vol'!EJ122</f>
        <v>47848.4</v>
      </c>
    </row>
    <row r="70" spans="1:19" x14ac:dyDescent="0.25">
      <c r="A70" s="1">
        <v>45352</v>
      </c>
      <c r="B70" s="4">
        <f>[1]Données!J123</f>
        <v>315610.90000000002</v>
      </c>
      <c r="C70" s="4">
        <f>[1]Données!K123</f>
        <v>166516.79999999999</v>
      </c>
      <c r="D70" s="4">
        <f>[1]Données!M123</f>
        <v>65620.5</v>
      </c>
      <c r="E70" s="4">
        <f>[1]Données!AJ123</f>
        <v>12001.619328000001</v>
      </c>
      <c r="F70" s="4">
        <f t="shared" si="1"/>
        <v>53618.880671999999</v>
      </c>
      <c r="G70" s="4"/>
      <c r="H70" s="4">
        <f>[1]Données!L123</f>
        <v>65493.3</v>
      </c>
      <c r="I70" s="4">
        <f>[1]Données!N123</f>
        <v>108699.5</v>
      </c>
      <c r="J70" s="4">
        <f>[1]Données!O123</f>
        <v>92893.2</v>
      </c>
      <c r="K70" s="4">
        <f>[1]Données!P123</f>
        <v>2174.0000000000582</v>
      </c>
      <c r="L70" s="3">
        <f>[2]PRIX!B221</f>
        <v>118.44268712273221</v>
      </c>
      <c r="M70" s="4">
        <f>[2]PRIX!G221</f>
        <v>121.68</v>
      </c>
      <c r="N70" s="3">
        <f>[1]Données!R123</f>
        <v>11.8</v>
      </c>
      <c r="O70" s="4">
        <f>[2]REVENUS!W106</f>
        <v>21422.3</v>
      </c>
      <c r="P70" s="4">
        <f>'[2]COMPTE SIMPL'!U107</f>
        <v>250.10022000000004</v>
      </c>
      <c r="Q70" s="3">
        <f>'[2]COMPTE SIMPL'!AY107</f>
        <v>14.739379277635168</v>
      </c>
      <c r="R70" s="4">
        <f>'[2]COMPTE SIMPL'!E107</f>
        <v>183.553</v>
      </c>
      <c r="S70" s="4">
        <f>'[3]CRE vol'!EJ123</f>
        <v>47968.021000000001</v>
      </c>
    </row>
    <row r="71" spans="1:19" x14ac:dyDescent="0.25">
      <c r="A71" s="1">
        <v>45444</v>
      </c>
      <c r="B71" s="4">
        <f>[1]Données!J124</f>
        <v>318136</v>
      </c>
      <c r="C71" s="4">
        <f>[1]Données!K124</f>
        <v>168222.9</v>
      </c>
      <c r="D71" s="4">
        <f>[1]Données!M124</f>
        <v>65861</v>
      </c>
      <c r="E71" s="4">
        <f>[1]Données!AJ124</f>
        <v>12055.615104</v>
      </c>
      <c r="F71" s="4">
        <f t="shared" si="1"/>
        <v>53805.384896000003</v>
      </c>
      <c r="G71" s="4"/>
      <c r="H71" s="4">
        <f>[1]Données!L124</f>
        <v>65919.3</v>
      </c>
      <c r="I71" s="4">
        <f>[1]Données!N124</f>
        <v>109418.9</v>
      </c>
      <c r="J71" s="4">
        <f>[1]Données!O124</f>
        <v>93438</v>
      </c>
      <c r="K71" s="4">
        <f>[1]Données!P124</f>
        <v>2151.8999999999942</v>
      </c>
      <c r="L71" s="3">
        <f>[2]PRIX!B222</f>
        <v>118.95553775571148</v>
      </c>
      <c r="M71" s="4">
        <f>[2]PRIX!G222</f>
        <v>124.02</v>
      </c>
      <c r="N71" s="3">
        <f>[1]Données!R124</f>
        <v>11.6</v>
      </c>
      <c r="O71" s="4">
        <f>[2]REVENUS!W107</f>
        <v>21511.1</v>
      </c>
      <c r="P71" s="4">
        <f>'[2]COMPTE SIMPL'!U108</f>
        <v>246.10641999999996</v>
      </c>
      <c r="Q71" s="3">
        <f>'[2]COMPTE SIMPL'!AY108</f>
        <v>12.117692825729639</v>
      </c>
      <c r="R71" s="4">
        <f>'[2]COMPTE SIMPL'!E108</f>
        <v>184.52199999999999</v>
      </c>
      <c r="S71" s="4">
        <f>'[3]CRE vol'!EJ124</f>
        <v>48039.973031500005</v>
      </c>
    </row>
    <row r="72" spans="1:19" x14ac:dyDescent="0.25">
      <c r="A72" s="1">
        <v>45536</v>
      </c>
      <c r="B72" s="4">
        <f>[1]Données!J125</f>
        <v>320252.09821300488</v>
      </c>
      <c r="C72" s="4">
        <f>[1]Données!K125</f>
        <v>169259.458731238</v>
      </c>
      <c r="D72" s="4">
        <f>[1]Données!M125</f>
        <v>66344.57074222833</v>
      </c>
      <c r="E72" s="4">
        <f>[1]Données!AJ125</f>
        <v>0</v>
      </c>
      <c r="F72" s="4">
        <f t="shared" si="1"/>
        <v>66344.57074222833</v>
      </c>
      <c r="G72" s="4"/>
      <c r="H72" s="4">
        <f>[1]Données!L125</f>
        <v>66578.493000000002</v>
      </c>
      <c r="I72" s="4">
        <f>[1]Données!N125</f>
        <v>110122.50807377376</v>
      </c>
      <c r="J72" s="4">
        <f>[1]Données!O125</f>
        <v>94138.785000000003</v>
      </c>
      <c r="K72" s="4">
        <f>[1]Données!P125</f>
        <v>2085.8526657648326</v>
      </c>
      <c r="L72" s="3">
        <f>[2]PRIX!B223</f>
        <v>119.90718205775717</v>
      </c>
      <c r="M72" s="4">
        <f>[2]PRIX!G223</f>
        <v>123.77909115</v>
      </c>
      <c r="N72" s="3">
        <f>[1]Données!R125</f>
        <v>11.22947908461253</v>
      </c>
      <c r="O72" s="4">
        <f>[2]REVENUS!W108</f>
        <v>21575.633299999998</v>
      </c>
      <c r="P72" s="4">
        <f>'[2]COMPTE SIMPL'!U109</f>
        <v>248.47293084729861</v>
      </c>
      <c r="Q72" s="3">
        <f>'[2]COMPTE SIMPL'!AY109</f>
        <v>11.717692825729639</v>
      </c>
      <c r="R72" s="4">
        <f>'[2]COMPTE SIMPL'!E109</f>
        <v>186.556170528</v>
      </c>
      <c r="S72" s="4">
        <f>'[3]CRE vol'!EJ125</f>
        <v>48160.072964078754</v>
      </c>
    </row>
    <row r="73" spans="1:19" x14ac:dyDescent="0.25">
      <c r="A73" s="1">
        <v>45627</v>
      </c>
      <c r="B73" s="4">
        <f>[1]Données!J126</f>
        <v>322214.07892595622</v>
      </c>
      <c r="C73" s="4">
        <f>[1]Données!K126</f>
        <v>170193.23561161969</v>
      </c>
      <c r="D73" s="4">
        <f>[1]Données!M126</f>
        <v>66831.793464105634</v>
      </c>
      <c r="E73" s="4">
        <f>[1]Données!AJ126</f>
        <v>0</v>
      </c>
      <c r="F73" s="4">
        <f t="shared" si="1"/>
        <v>66831.793464105634</v>
      </c>
      <c r="G73" s="4"/>
      <c r="H73" s="4">
        <f>[1]Données!L126</f>
        <v>67244.277929999997</v>
      </c>
      <c r="I73" s="4">
        <f>[1]Données!N126</f>
        <v>110830.66745870658</v>
      </c>
      <c r="J73" s="4">
        <f>[1]Données!O126</f>
        <v>94891.895279999997</v>
      </c>
      <c r="K73" s="4">
        <f>[1]Données!P126</f>
        <v>2005.9997415243124</v>
      </c>
      <c r="L73" s="3">
        <f>[2]PRIX!B224</f>
        <v>120.81697780162041</v>
      </c>
      <c r="M73" s="4">
        <f>[2]PRIX!G224</f>
        <v>124.71826500410063</v>
      </c>
      <c r="N73" s="3">
        <f>[1]Données!R126</f>
        <v>11.229479084612537</v>
      </c>
      <c r="O73" s="4">
        <f>[2]REVENUS!W109</f>
        <v>21629.572383249997</v>
      </c>
      <c r="P73" s="4">
        <f>'[2]COMPTE SIMPL'!U110</f>
        <v>251.17038838337601</v>
      </c>
      <c r="Q73" s="3">
        <f>'[2]COMPTE SIMPL'!AY110</f>
        <v>11.51769282572964</v>
      </c>
      <c r="R73" s="4">
        <f>'[2]COMPTE SIMPL'!E110</f>
        <v>188.7072601833965</v>
      </c>
      <c r="S73" s="4">
        <f>'[3]CRE vol'!EJ126</f>
        <v>48280.473146488948</v>
      </c>
    </row>
    <row r="74" spans="1:19" x14ac:dyDescent="0.25">
      <c r="A74" s="1">
        <v>45717</v>
      </c>
      <c r="B74" s="4">
        <f>[1]Données!J127</f>
        <v>323915.86583371856</v>
      </c>
      <c r="C74" s="4">
        <f>[1]Données!K127</f>
        <v>171173.90945102336</v>
      </c>
      <c r="D74" s="4">
        <f>[1]Données!M127</f>
        <v>67322.696298537659</v>
      </c>
      <c r="E74" s="4">
        <f>[1]Données!AJ127</f>
        <v>0</v>
      </c>
      <c r="F74" s="4">
        <f t="shared" si="1"/>
        <v>67322.696298537659</v>
      </c>
      <c r="G74" s="4"/>
      <c r="H74" s="4">
        <f>[1]Données!L127</f>
        <v>67714.987875509993</v>
      </c>
      <c r="I74" s="4">
        <f>[1]Données!N127</f>
        <v>111417.25904907826</v>
      </c>
      <c r="J74" s="4">
        <f>[1]Données!O127</f>
        <v>95651.030442239993</v>
      </c>
      <c r="K74" s="4">
        <f>[1]Données!P127</f>
        <v>1938.0436018092732</v>
      </c>
      <c r="L74" s="3">
        <f>[2]PRIX!B225</f>
        <v>121.62010866155667</v>
      </c>
      <c r="M74" s="4">
        <f>[2]PRIX!G225</f>
        <v>125.54732967071538</v>
      </c>
      <c r="N74" s="3">
        <f>[1]Données!R127</f>
        <v>11.229479084612535</v>
      </c>
      <c r="O74" s="4">
        <f>[2]REVENUS!W110</f>
        <v>21672.831528016497</v>
      </c>
      <c r="P74" s="4">
        <f>'[2]COMPTE SIMPL'!U111</f>
        <v>254.00986401381468</v>
      </c>
      <c r="Q74" s="3">
        <f>'[2]COMPTE SIMPL'!AY111</f>
        <v>11.41769282572964</v>
      </c>
      <c r="R74" s="4">
        <f>'[2]COMPTE SIMPL'!E111</f>
        <v>190.78794945349478</v>
      </c>
      <c r="S74" s="4">
        <f>'[3]CRE vol'!EJ127</f>
        <v>48377.034092781927</v>
      </c>
    </row>
    <row r="75" spans="1:19" x14ac:dyDescent="0.25">
      <c r="A75" s="1">
        <v>45809</v>
      </c>
      <c r="B75" s="4">
        <f>[1]Données!J128</f>
        <v>325424.10693129036</v>
      </c>
      <c r="C75" s="4">
        <f>[1]Données!K128</f>
        <v>171955.81542830847</v>
      </c>
      <c r="D75" s="4">
        <f>[1]Données!M128</f>
        <v>67966.609747624883</v>
      </c>
      <c r="E75" s="4">
        <f>[1]Données!AJ128</f>
        <v>0</v>
      </c>
      <c r="F75" s="4">
        <f t="shared" si="1"/>
        <v>67966.609747624883</v>
      </c>
      <c r="G75" s="4"/>
      <c r="H75" s="4">
        <f>[1]Données!L128</f>
        <v>68188.992790638556</v>
      </c>
      <c r="I75" s="4">
        <f>[1]Données!N128</f>
        <v>112007.19988825517</v>
      </c>
      <c r="J75" s="4">
        <f>[1]Données!O128</f>
        <v>96511.889716220147</v>
      </c>
      <c r="K75" s="4">
        <f>[1]Données!P128</f>
        <v>1817.3787926834193</v>
      </c>
      <c r="L75" s="3">
        <f>[2]PRIX!B226</f>
        <v>122.29996506897477</v>
      </c>
      <c r="M75" s="4">
        <f>[2]PRIX!G226</f>
        <v>126.24913924357469</v>
      </c>
      <c r="N75" s="3">
        <f>[1]Données!R128</f>
        <v>11.229479084612544</v>
      </c>
      <c r="O75" s="4">
        <f>[2]REVENUS!W111</f>
        <v>21716.177191072529</v>
      </c>
      <c r="P75" s="4">
        <f>'[2]COMPTE SIMPL'!U112</f>
        <v>256.30721427617914</v>
      </c>
      <c r="Q75" s="3">
        <f>'[2]COMPTE SIMPL'!AY112</f>
        <v>11.31769282572964</v>
      </c>
      <c r="R75" s="4">
        <f>'[2]COMPTE SIMPL'!E112</f>
        <v>193.0842793183314</v>
      </c>
      <c r="S75" s="4">
        <f>'[3]CRE vol'!EJ128</f>
        <v>48473.788160967488</v>
      </c>
    </row>
    <row r="76" spans="1:19" x14ac:dyDescent="0.25">
      <c r="A76" s="1">
        <v>45901</v>
      </c>
      <c r="B76" s="4">
        <f>[1]Données!J129</f>
        <v>326875.54826974712</v>
      </c>
      <c r="C76" s="4">
        <f>[1]Données!K129</f>
        <v>172779.35420604175</v>
      </c>
      <c r="D76" s="4">
        <f>[1]Données!M129</f>
        <v>68616.727823091787</v>
      </c>
      <c r="E76" s="4">
        <f>[1]Données!AJ129</f>
        <v>0</v>
      </c>
      <c r="F76" s="4">
        <f t="shared" si="1"/>
        <v>68616.727823091787</v>
      </c>
      <c r="G76" s="4"/>
      <c r="H76" s="4">
        <f>[1]Données!L129</f>
        <v>68666.315740173013</v>
      </c>
      <c r="I76" s="4">
        <f>[1]Données!N129</f>
        <v>112600.51039340967</v>
      </c>
      <c r="J76" s="4">
        <f>[1]Données!O129</f>
        <v>97477.00861338235</v>
      </c>
      <c r="K76" s="4">
        <f>[1]Données!P129</f>
        <v>1689.6487204132136</v>
      </c>
      <c r="L76" s="3">
        <f>[2]PRIX!B227</f>
        <v>122.98362187371033</v>
      </c>
      <c r="M76" s="4">
        <f>[2]PRIX!G227</f>
        <v>126.95487193194627</v>
      </c>
      <c r="N76" s="3">
        <f>[1]Données!R129</f>
        <v>11.096456325998073</v>
      </c>
      <c r="O76" s="4">
        <f>[2]REVENUS!W112</f>
        <v>21770.467634050208</v>
      </c>
      <c r="P76" s="4">
        <f>'[2]COMPTE SIMPL'!U113</f>
        <v>258.68265594458273</v>
      </c>
      <c r="Q76" s="3">
        <f>'[2]COMPTE SIMPL'!AY113</f>
        <v>11.217692825729641</v>
      </c>
      <c r="R76" s="4">
        <f>'[2]COMPTE SIMPL'!E113</f>
        <v>195.50575698863375</v>
      </c>
      <c r="S76" s="4">
        <f>'[3]CRE vol'!EJ129</f>
        <v>48522.261949128449</v>
      </c>
    </row>
    <row r="77" spans="1:19" x14ac:dyDescent="0.25">
      <c r="A77" s="1">
        <v>45992</v>
      </c>
      <c r="B77" s="4">
        <f>[1]Données!J130</f>
        <v>328331.6555087064</v>
      </c>
      <c r="C77" s="4">
        <f>[1]Données!K130</f>
        <v>173605.97518241586</v>
      </c>
      <c r="D77" s="4">
        <f>[1]Données!M130</f>
        <v>69273.110695137293</v>
      </c>
      <c r="E77" s="4">
        <f>[1]Données!AJ130</f>
        <v>0</v>
      </c>
      <c r="F77" s="4">
        <f t="shared" si="1"/>
        <v>69273.110695137293</v>
      </c>
      <c r="G77" s="4"/>
      <c r="H77" s="4">
        <f>[1]Données!L130</f>
        <v>69146.979950354216</v>
      </c>
      <c r="I77" s="4">
        <f>[1]Données!N130</f>
        <v>113197.211112524</v>
      </c>
      <c r="J77" s="4">
        <f>[1]Données!O130</f>
        <v>98451.778699516173</v>
      </c>
      <c r="K77" s="4">
        <f>[1]Données!P130</f>
        <v>1560.1572677911608</v>
      </c>
      <c r="L77" s="3">
        <f>[2]PRIX!B228</f>
        <v>123.67110031998438</v>
      </c>
      <c r="M77" s="4">
        <f>[2]PRIX!G228</f>
        <v>127.66454966604584</v>
      </c>
      <c r="N77" s="3">
        <f>[1]Données!R130</f>
        <v>10.963234232580486</v>
      </c>
      <c r="O77" s="4">
        <f>[2]REVENUS!W113</f>
        <v>21824.893803135332</v>
      </c>
      <c r="P77" s="4">
        <f>'[2]COMPTE SIMPL'!U114</f>
        <v>261.07914807948163</v>
      </c>
      <c r="Q77" s="3">
        <f>'[2]COMPTE SIMPL'!AY114</f>
        <v>11.117692825729641</v>
      </c>
      <c r="R77" s="4">
        <f>'[2]COMPTE SIMPL'!E114</f>
        <v>197.95760250725849</v>
      </c>
      <c r="S77" s="4">
        <f>'[3]CRE vol'!EJ130</f>
        <v>48570.784211077575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0477-5FD7-4FA1-A566-13EF8B5D9390}">
  <dimension ref="A1:D20"/>
  <sheetViews>
    <sheetView workbookViewId="0">
      <selection activeCell="F15" sqref="F15"/>
    </sheetView>
  </sheetViews>
  <sheetFormatPr baseColWidth="10" defaultRowHeight="15" x14ac:dyDescent="0.25"/>
  <sheetData>
    <row r="1" spans="1:4" x14ac:dyDescent="0.25">
      <c r="A1" t="s">
        <v>0</v>
      </c>
      <c r="B1" t="s">
        <v>13</v>
      </c>
      <c r="C1" t="s">
        <v>14</v>
      </c>
      <c r="D1" t="s">
        <v>18</v>
      </c>
    </row>
    <row r="2" spans="1:4" x14ac:dyDescent="0.25">
      <c r="A2" s="2">
        <v>39447</v>
      </c>
      <c r="B2" s="3">
        <f>[1]Fi_pu_espagneT!D19</f>
        <v>1.9</v>
      </c>
      <c r="C2" s="3">
        <f>[1]Fi_pu_espagneT!L19</f>
        <v>35.799999999999997</v>
      </c>
      <c r="D2" s="3">
        <f>[1]Fi_pu_espagneT!K19</f>
        <v>-0.15500000000000003</v>
      </c>
    </row>
    <row r="3" spans="1:4" x14ac:dyDescent="0.25">
      <c r="A3" s="2">
        <v>39813</v>
      </c>
      <c r="B3" s="3">
        <f>[1]Fi_pu_espagneT!D20</f>
        <v>-4.5999999999999996</v>
      </c>
      <c r="C3" s="3">
        <f>[1]Fi_pu_espagneT!L20</f>
        <v>39.700000000000003</v>
      </c>
      <c r="D3" s="3">
        <f>[1]Fi_pu_espagneT!K20</f>
        <v>0.31230000000000024</v>
      </c>
    </row>
    <row r="4" spans="1:4" x14ac:dyDescent="0.25">
      <c r="A4" s="2">
        <v>40178</v>
      </c>
      <c r="B4" s="3">
        <f>[1]Fi_pu_espagneT!D21</f>
        <v>-11.3</v>
      </c>
      <c r="C4" s="3">
        <f>[1]Fi_pu_espagneT!L21</f>
        <v>53.3</v>
      </c>
      <c r="D4" s="3">
        <f>[1]Fi_pu_espagneT!K21</f>
        <v>0.22439999999999993</v>
      </c>
    </row>
    <row r="5" spans="1:4" x14ac:dyDescent="0.25">
      <c r="A5" s="2">
        <v>40543</v>
      </c>
      <c r="B5" s="3">
        <f>[1]Fi_pu_espagneT!D22</f>
        <v>-9.5</v>
      </c>
      <c r="C5" s="3">
        <f>[1]Fi_pu_espagneT!L22</f>
        <v>60.5</v>
      </c>
      <c r="D5" s="3">
        <f>[1]Fi_pu_espagneT!K22</f>
        <v>-0.39739999999999998</v>
      </c>
    </row>
    <row r="6" spans="1:4" x14ac:dyDescent="0.25">
      <c r="A6" s="2">
        <v>40908</v>
      </c>
      <c r="B6" s="3">
        <f>[1]Fi_pu_espagneT!D23</f>
        <v>-9.6999999999999993</v>
      </c>
      <c r="C6" s="3">
        <f>[1]Fi_pu_espagneT!L23</f>
        <v>69.900000000000006</v>
      </c>
      <c r="D6" s="3">
        <f>[1]Fi_pu_espagneT!K23</f>
        <v>0.47019999999999995</v>
      </c>
    </row>
    <row r="7" spans="1:4" x14ac:dyDescent="0.25">
      <c r="A7" s="2">
        <v>41274</v>
      </c>
      <c r="B7" s="3">
        <f>[1]Fi_pu_espagneT!D24</f>
        <v>-11.6</v>
      </c>
      <c r="C7" s="3">
        <f>[1]Fi_pu_espagneT!L24</f>
        <v>90</v>
      </c>
      <c r="D7" s="3">
        <f>[1]Fi_pu_espagneT!K24</f>
        <v>1.4954000000000001</v>
      </c>
    </row>
    <row r="8" spans="1:4" x14ac:dyDescent="0.25">
      <c r="A8" s="2">
        <v>41639</v>
      </c>
      <c r="B8" s="3">
        <f>[1]Fi_pu_espagneT!D25</f>
        <v>-7.5</v>
      </c>
      <c r="C8" s="3">
        <f>[1]Fi_pu_espagneT!L25</f>
        <v>100.5</v>
      </c>
      <c r="D8" s="3">
        <f>[1]Fi_pu_espagneT!K25</f>
        <v>6.3008999999999995</v>
      </c>
    </row>
    <row r="9" spans="1:4" x14ac:dyDescent="0.25">
      <c r="A9" s="2">
        <v>42004</v>
      </c>
      <c r="B9" s="3">
        <f>[1]Fi_pu_espagneT!D26</f>
        <v>-6.1</v>
      </c>
      <c r="C9" s="3">
        <f>[1]Fi_pu_espagneT!L26</f>
        <v>105.1</v>
      </c>
      <c r="D9" s="3">
        <f>[1]Fi_pu_espagneT!K26</f>
        <v>3.7465000000000011</v>
      </c>
    </row>
    <row r="10" spans="1:4" x14ac:dyDescent="0.25">
      <c r="A10" s="2">
        <v>42369</v>
      </c>
      <c r="B10" s="3">
        <f>[1]Fi_pu_espagneT!D27</f>
        <v>-5.3</v>
      </c>
      <c r="C10" s="3">
        <f>[1]Fi_pu_espagneT!L27</f>
        <v>103.3</v>
      </c>
      <c r="D10" s="3">
        <f>[1]Fi_pu_espagneT!K27</f>
        <v>-2.1077000000000004</v>
      </c>
    </row>
    <row r="11" spans="1:4" x14ac:dyDescent="0.25">
      <c r="A11" s="2">
        <v>42735</v>
      </c>
      <c r="B11" s="3">
        <f>[1]Fi_pu_espagneT!D28</f>
        <v>-4.3</v>
      </c>
      <c r="C11" s="3">
        <f>[1]Fi_pu_espagneT!L28</f>
        <v>102.7</v>
      </c>
      <c r="D11" s="3">
        <f>[1]Fi_pu_espagneT!K28</f>
        <v>-1.0481000000000007</v>
      </c>
    </row>
    <row r="12" spans="1:4" x14ac:dyDescent="0.25">
      <c r="A12" s="2">
        <v>43100</v>
      </c>
      <c r="B12" s="3">
        <f>[1]Fi_pu_espagneT!D29</f>
        <v>-3.1</v>
      </c>
      <c r="C12" s="3">
        <f>[1]Fi_pu_espagneT!L29</f>
        <v>101.8</v>
      </c>
      <c r="D12" s="3">
        <f>[1]Fi_pu_espagneT!K29</f>
        <v>-0.64429999999999943</v>
      </c>
    </row>
    <row r="13" spans="1:4" x14ac:dyDescent="0.25">
      <c r="A13" s="2">
        <v>43465</v>
      </c>
      <c r="B13" s="3">
        <f>[1]Fi_pu_espagneT!D30</f>
        <v>-2.6</v>
      </c>
      <c r="C13" s="3">
        <f>[1]Fi_pu_espagneT!L30</f>
        <v>100.4</v>
      </c>
      <c r="D13" s="3">
        <f>[1]Fi_pu_espagneT!K30</f>
        <v>-5.5877999999999997</v>
      </c>
    </row>
    <row r="14" spans="1:4" x14ac:dyDescent="0.25">
      <c r="A14" s="2">
        <v>43830</v>
      </c>
      <c r="B14" s="3">
        <f>[1]Fi_pu_espagneT!D31</f>
        <v>-3.1</v>
      </c>
      <c r="C14" s="3">
        <f>[1]Fi_pu_espagneT!L31</f>
        <v>98.2</v>
      </c>
      <c r="D14" s="3">
        <f>[1]Fi_pu_espagneT!K31</f>
        <v>-0.85850000000000004</v>
      </c>
    </row>
    <row r="15" spans="1:4" x14ac:dyDescent="0.25">
      <c r="A15" s="2">
        <v>44196</v>
      </c>
      <c r="B15" s="3">
        <f>[1]Fi_pu_espagneT!D32</f>
        <v>-10.1</v>
      </c>
      <c r="C15" s="3">
        <f>[1]Fi_pu_espagneT!L32</f>
        <v>120.3</v>
      </c>
      <c r="D15" s="3">
        <f>[1]Fi_pu_espagneT!K32</f>
        <v>1.4627999999999999</v>
      </c>
    </row>
    <row r="16" spans="1:4" x14ac:dyDescent="0.25">
      <c r="A16" s="2">
        <v>44561</v>
      </c>
      <c r="B16" s="3">
        <f>[1]Fi_pu_espagneT!D33</f>
        <v>-6.7</v>
      </c>
      <c r="C16" s="3">
        <f>[1]Fi_pu_espagneT!L33</f>
        <v>116.8</v>
      </c>
      <c r="D16" s="3">
        <f>[1]Fi_pu_espagneT!K33</f>
        <v>0.54410000000000003</v>
      </c>
    </row>
    <row r="17" spans="1:4" x14ac:dyDescent="0.25">
      <c r="A17" s="2">
        <v>44926</v>
      </c>
      <c r="B17" s="3">
        <f>[1]Fi_pu_espagneT!D34</f>
        <v>-4.5940352162046665</v>
      </c>
      <c r="C17" s="3">
        <f>[1]Fi_pu_espagneT!L34</f>
        <v>111.6</v>
      </c>
      <c r="D17" s="3">
        <f>[1]Fi_pu_espagneT!K34</f>
        <v>0.24209999999999998</v>
      </c>
    </row>
    <row r="18" spans="1:4" x14ac:dyDescent="0.25">
      <c r="A18" s="2">
        <v>45291</v>
      </c>
      <c r="B18" s="3">
        <f>[1]Fi_pu_espagneT!D35</f>
        <v>-3.515194310442868</v>
      </c>
      <c r="C18" s="3">
        <f>[1]Fi_pu_espagneT!L35</f>
        <v>107.7</v>
      </c>
      <c r="D18" s="3">
        <f>[1]Fi_pu_espagneT!K35</f>
        <v>-0.8</v>
      </c>
    </row>
    <row r="19" spans="1:4" x14ac:dyDescent="0.25">
      <c r="A19" s="2">
        <v>45657</v>
      </c>
      <c r="B19" s="3">
        <f>[1]Fi_pu_espagneT!D36</f>
        <v>-2.9847909218526296</v>
      </c>
      <c r="C19" s="3">
        <f>[1]Fi_pu_espagneT!L36</f>
        <v>105.93275713037333</v>
      </c>
      <c r="D19" s="3">
        <f>[1]Fi_pu_espagneT!K36</f>
        <v>0.1</v>
      </c>
    </row>
    <row r="20" spans="1:4" x14ac:dyDescent="0.25">
      <c r="A20" s="2">
        <v>46022</v>
      </c>
      <c r="B20" s="3">
        <f>[1]Fi_pu_espagneT!D37</f>
        <v>-2.5247009274624235</v>
      </c>
      <c r="C20" s="3">
        <f>[1]Fi_pu_espagneT!L37</f>
        <v>104.7200977069709</v>
      </c>
      <c r="D20" s="3">
        <f>[1]Fi_pu_espagneT!K37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Metadonnees</vt:lpstr>
      <vt:lpstr>ESP_trim</vt:lpstr>
      <vt:lpstr>ESP_Ann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BLOT</dc:creator>
  <cp:lastModifiedBy>Christine RIFFLART</cp:lastModifiedBy>
  <dcterms:created xsi:type="dcterms:W3CDTF">2024-09-26T09:07:19Z</dcterms:created>
  <dcterms:modified xsi:type="dcterms:W3CDTF">2024-10-22T15:12:27Z</dcterms:modified>
</cp:coreProperties>
</file>